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작업 상세" sheetId="2" r:id="rId6"/>
  </sheets>
  <definedNames/>
  <calcPr/>
</workbook>
</file>

<file path=xl/sharedStrings.xml><?xml version="1.0" encoding="utf-8"?>
<sst xmlns="http://schemas.openxmlformats.org/spreadsheetml/2006/main" count="1281" uniqueCount="748">
  <si>
    <t>사고뭉치 WBS 작업 상세</t>
  </si>
  <si>
    <t>기준: 요구사항 v0.3 151개 · 노션 기록 · 공식 산출물 관리 시트 · 프로젝트 2026-10-16~12-08</t>
  </si>
  <si>
    <t>89개 작업. 1주차는 10/16~23, 2주차부터 공식 월~금 구간. 작업과 제출 일정을 분리하고 5단계에서 직접 연결.</t>
  </si>
  <si>
    <t>입력: 시트1의 주 담당(D), 시작일(E), 마감일(F), 실제 완료율(H). 주 담당은 이 시트에 자동 연결된다. 작업 제목은 이 시트 C열에서 수정한다.</t>
  </si>
  <si>
    <t>10/16~18 활동도 WBS 본문에 포함. 기간은 표시된 일정일 수(평일+실제 주말 작업 2일)이며 인원별 공수·기여 비율이 아님.</t>
  </si>
  <si>
    <t>제출 마감: 10/23·10/30·11/06·11/13·11/20·11/27·12/04·12/08. 11/06 중간발표, 12/08 최종발표. 실제 제출·검증 완료는 별도 확인.</t>
  </si>
  <si>
    <t>WBS 번호</t>
  </si>
  <si>
    <t>단계</t>
  </si>
  <si>
    <t>작업 제목</t>
  </si>
  <si>
    <t>주 담당·협업자</t>
  </si>
  <si>
    <t>선행 작업</t>
  </si>
  <si>
    <t>관련 기능 ID</t>
  </si>
  <si>
    <t>산출물</t>
  </si>
  <si>
    <t>완료 조건</t>
  </si>
  <si>
    <t>범위·정책·유의사항</t>
  </si>
  <si>
    <t>WBS-1.1</t>
  </si>
  <si>
    <t>착수·주제 검토·요구사항 확정</t>
  </si>
  <si>
    <t>초기 주제 발굴·기획안 작성</t>
  </si>
  <si>
    <t>사고뭉치 WBS</t>
  </si>
  <si>
    <t>공식 산출물 일정 반영 · 1주차 10/16~23 · 총 89개 작업</t>
  </si>
  <si>
    <t>프로젝트 이름</t>
  </si>
  <si>
    <t>사고뭉치</t>
  </si>
  <si>
    <t>프로젝트 시작</t>
  </si>
  <si>
    <t>없음</t>
  </si>
  <si>
    <t>기획·관리 작업</t>
  </si>
  <si>
    <t>초기 후보 기획안·비교 기준</t>
  </si>
  <si>
    <t>10/16 교육안을 포함한 후보 발굴·기획안 작성·공유 기록을 정리한다.</t>
  </si>
  <si>
    <t>S01. 실제 10/16 작업을 프로젝트 1주차 WBS에 포함. 다른 후보의 기능을 사고뭉치 구현으로 합치지 않음.</t>
  </si>
  <si>
    <t>WBS-1.2</t>
  </si>
  <si>
    <t>후보 MVP 제작·데이터·경쟁 조사</t>
  </si>
  <si>
    <t>프로젝트 마감</t>
  </si>
  <si>
    <t>프로젝트 관리자</t>
  </si>
  <si>
    <t>후보별 MVP·조사 결과</t>
  </si>
  <si>
    <t>주말에 수행한 후보별 조사·MVP 보고를 작업으로 반영하고 실제 보고자·기능 범위와 미검증 사항을 기록한다.</t>
  </si>
  <si>
    <t>S02·S03. 10/17~18 실제 작업, 10/19 공유. 최성욱 원문 본문 날짜 불일치는 확인 필요. 주 담당은 취합·조정 책임이며 개인별 구현 보고자는 진행 근거 표에 보존.</t>
  </si>
  <si>
    <t>WBS-1.3</t>
  </si>
  <si>
    <t>후보 비교·교육 서비스 차별화 검토</t>
  </si>
  <si>
    <t>후보 비교표·교육 서비스 차별화 근거</t>
  </si>
  <si>
    <t>사용자 문제·유사 서비스·데이터 경로·기한 내 구현 가능성을 비교하고 교육안의 단순 GPT 피드백 대비 차이와 미검증 가설을 정리한다.</t>
  </si>
  <si>
    <t>S04~S06·S09·S10. 다른 후보는 선정 경위로만 보존. B2G/B2B2C·과학/사회/영어 확장은 현재 결정으로 간주하지 않음. / 10/19~23 후보 검토 작업. 이전 주말 MVP 제작과 구분.</t>
  </si>
  <si>
    <t>WBS-1.4</t>
  </si>
  <si>
    <t>교육 MVP·기존 산출물 현황 정리</t>
  </si>
  <si>
    <t>교육 MVP 버전·코드·문서·데이터 현황표</t>
  </si>
  <si>
    <t>수업 8개·규칙 피드백·브라우저 기록의 보고를 실제 코드·버전과 대조할 항목으로 정리한다. 계정·서버·AI·운영 요구의 차이를 구분한다.</t>
  </si>
  <si>
    <t>S07: 10/21 규칙 기반·localStorage MVP 보고. S08: 10/22 별도 MVP 구현 보고. 동일 버전·실행 범위 미확인. 원문 보고를 운영 기능 완료로 처리하지 않음. / 10/21~22 구현·검토 보고 범위를 반영. 요구사항 전체 완료율로 환산하지 않음.</t>
  </si>
  <si>
    <t>WBS-1.5</t>
  </si>
  <si>
    <t>멘토링 피드백·후속 과제 정리</t>
  </si>
  <si>
    <t>10/21 멘토링 피드백·후속 과제표</t>
  </si>
  <si>
    <t>루브릭 데이터·유사 서비스·소형 모델 역할·서비스 완성 범위와 10/23 초안 제출 요구를 정리해 담당 작업에 연결한다.</t>
  </si>
  <si>
    <t>S06. 세션 기록은 확인. 피드백 반영 완료·후속 멘토링 일정 확정·제출 완료는 미확인. 현재 담당 배정 기준으로 후속 작업을 제안.</t>
  </si>
  <si>
    <t>WBS-1.6</t>
  </si>
  <si>
    <t>교육 데이터·성취기준 확보 검토</t>
  </si>
  <si>
    <t>김태윤</t>
  </si>
  <si>
    <t>작성 기준일</t>
  </si>
  <si>
    <t>전체 일정일</t>
  </si>
  <si>
    <t>교육 데이터 확보·권리·성취기준 연결 현황표</t>
  </si>
  <si>
    <t>개념 설명 24항목 예비 대조표와 수업 8개 연결 후보를 정리하고 NCIC·AI-Hub·KICE 등 후보의 원본 확보·이용 조건·채점 기준·전문가 검수 필요를 구분한다.</t>
  </si>
  <si>
    <t>S05·S07·S10. 조사·예비 매핑 보고를 공식 매핑·원본 확보·학습 데이터 구축 완료로 바꾸지 않음. 본 제작·분할은 2.4·2.5 및 3.5에서 수행.</t>
  </si>
  <si>
    <t>WBS-1.7</t>
  </si>
  <si>
    <t>기획서·요구사항·WBS 초안 정리</t>
  </si>
  <si>
    <t>WBS-1.4, WBS-1.5, WBS-1.6</t>
  </si>
  <si>
    <t>FFJ-01, FBF-01, FBF-02, FBF-03, FFJ-02, FBN-01, FBN-02, FBF-04, FFJ-03, FFJ-04, FFJ-05, FFJ-06, FFJ-07, FFJ-08, FFJ-09, FFJ-10, FFJ-11, FFH-01, FAD-01, FFJ-12, FFJ-13, FFJ-14, FFJ-15, FBF-05, FBF-06, FBN-03, FFJ-16, FBF-07, FFJ-17, FBF-08, FFH-02, FBF-09, FAC-01, FAC-02, FAC-03, FAC-04, FBN-04, FBF-10, FFH-03, FBN-05, FFJ-18, FAC-05, FBF-11, FAC-06, FFJ-19, FFJ-20, FAC-07, FBF-12, FBF-13, FBF-14, FBF-15, FBF-16, FAC-08, FAC-09, FAD-02, FAC-10, FFH-04, FBF-17, FBN-06, FFH-05, FFJ-21, FFH-06, FFH-07, FBN-07, FFH-08, FFH-09, FFH-10, FFJ-22, FFJ-23, FBN-08, FFH-11, FFH-12, FFH-13, FFJ-24, FBF-18, FFH-14, FAD-03, FAD-04, FBN-09, FBF-19, FBN-10, FAD-05, FAC-11, FBN-11, FBF-20, FFJ-25, FBF-21, FBN-12, FFJ-26, FBF-22, FBF-23, FFH-15, FBF-24, FFJ-27, FBF-25, FAR-01, FAR-02, FAR-03, FAR-04, FFH-16, FFJ-28, FAD-06, FBN-13, FBN-14, FBN-15, FBN-16, FBN-17, FBN-18, FBN-19, FBN-20, FAC-12, FAR-05, FBN-21, FBN-22, FBN-23, FFJ-29, FBF-26, FBF-27, FFH-17, FBF-28, FFH-18, FBF-29, FFJ-30, FFJ-31, FBN-24, FFH-19, FFJ-32, FBF-30, FBF-31, FBF-32, FBF-33, FFH-20, FFJ-33, FFJ-34, FBF-34, FBN-25, FFH-21, FBF-35, FBF-36, FAR-06, FAC-13, FAC-14, FAC-15, FAC-16, FFJ-35, FFJ-36, FFJ-37, FFJ-38, FFJ-39, FBF-37, FFJ-40</t>
  </si>
  <si>
    <t>기획서·요구사항 v0.3·WBS 제출본</t>
  </si>
  <si>
    <t>151개 요구사항과 최초 초안 48개의 연결을 유지하고 기능 분해·데이터 확보 상태·담당·일정을 초안에 반영한다. 제출 여부는 별도로 확인한다.</t>
  </si>
  <si>
    <t>S11·S12. 10/23 제출 일정에 맞춰 기획 초안을 정리한다. 수집 데이터 보고서는 WBS-5.4에서 별도로 제출하며 미확보 데이터를 확보 완료로 작성하지 않음. 제출 사실은 증빙 확인 후 표시.</t>
  </si>
  <si>
    <t>WBS-1.8</t>
  </si>
  <si>
    <t>계정·자녀·기록 정책 결정</t>
  </si>
  <si>
    <t>완료율은 실제 확인 후 입력 · 보고·구현·검증·제출 완료를 구분</t>
  </si>
  <si>
    <t>일정일: 평일 + 실제 작업한 10/17~18 · 5단계는 병행 제출 일정 · 기간은 인원 공수가 아님</t>
  </si>
  <si>
    <t>FFJ-01, FBF-01, FBF-02, FBF-03, FFJ-02, FBN-01, FBN-02, FBF-04, FFJ-25, FBF-21, FBN-12, FFJ-29, FBF-26, FBF-27, FBF-24, FFJ-27, FBF-25</t>
  </si>
  <si>
    <t>계정·자녀 연결·보관 정책</t>
  </si>
  <si>
    <t>P01·P02·P05·P09의 결정 또는 보류 사유를 남긴다.</t>
  </si>
  <si>
    <t>메모 저장과 시연 링크 방식 검토 필요</t>
  </si>
  <si>
    <t>WBS-1.9</t>
  </si>
  <si>
    <t>학습·판정·집계와 확장 정책 결정</t>
  </si>
  <si>
    <t>작업 계획</t>
  </si>
  <si>
    <t>1~2주</t>
  </si>
  <si>
    <t>3~4주</t>
  </si>
  <si>
    <t>FFH-01, FAD-01, FFJ-12, FFJ-13, FFJ-14, FFJ-15, FBF-05, FBF-06, FBN-03, FFJ-16, FBF-07, FFJ-17, FBF-08, FFH-02, FBF-09, FAC-01, FAC-02, FAC-03, FAC-04, FBN-04, FBF-10, FBF-14, FBF-15, FBF-16, FAC-08, FAC-09, FAD-02, FAC-10, FFH-04, FBF-17, FBN-06</t>
  </si>
  <si>
    <t>5~6주</t>
  </si>
  <si>
    <t>입력·종료·판정·집계 규칙</t>
  </si>
  <si>
    <t>P03·P04·P08·P16을 합의하고 미합의 대체 응답은 적용하지 않는다.</t>
  </si>
  <si>
    <t>학년·건너뛰기·작은 표본·대체 응답 검토 / S09 암기 카드·간격 복습·확신도·학습 기반 지표는 검토 필요. 현재 151개 요구사항의 확정 구현 범위로 자동 추가하지 않음.</t>
  </si>
  <si>
    <t>7~8주</t>
  </si>
  <si>
    <t>노란색 입력칸: 주 담당 · 시작일 · 마감일 · 실제 완료율</t>
  </si>
  <si>
    <t>WBS-1.10</t>
  </si>
  <si>
    <t>모델·평가 범위 결정</t>
  </si>
  <si>
    <t>WBS-1.6, WBS-1.7</t>
  </si>
  <si>
    <t>FAC-13, FAC-14, FAC-15, FAC-16, FAR-01, FAR-02, FAR-03, FAR-04</t>
  </si>
  <si>
    <t>M2 필수 범위와 선택 모델 계획</t>
  </si>
  <si>
    <t>P11·P15에서 데이터·지표·표본·활성화 범위를 결정한다.</t>
  </si>
  <si>
    <t>M1·sLLM과 임시 임계값은 조건부 / S06·S10의 설명 정확도·연령별 출력·사람 기준 비교를 평가 범위에 포함할지 결정. 제안·학습 효과와 실측을 구분. / S13: 4번 공통 주제의 자체 sLLM 산출물은 필수로 안내됨. 학습·비교·제출은 11/20까지 계획하고 서비스 공개 활성화는 최종 평가 후 결정.</t>
  </si>
  <si>
    <t>WBS-1.11</t>
  </si>
  <si>
    <t>운영·리포트·결제 정책 결정</t>
  </si>
  <si>
    <t>FBN-13, FBN-14, FBN-15, FBN-16, FBN-17, FBN-18, FBN-19, FBN-20, FAC-12, FAR-05, FBN-21, FBN-22, FBN-23, FFH-19, FFJ-32, FBF-30, FBF-31, FBF-32, FBF-33, FFH-20, FFJ-33, FFJ-34, FBF-34, FBN-25, FFH-21, FBF-35, FBF-36, FAR-06, FBF-29, FFJ-30, FFJ-31, FBN-24</t>
  </si>
  <si>
    <t>운영·주간 생성·구독 정책</t>
  </si>
  <si>
    <t>P06·P07·P10·P12·P13·P14의 책임과 적용 범위를 기록한다.</t>
  </si>
  <si>
    <t>실결제 도입은 PG 계약·승인 후 별도 결정</t>
  </si>
  <si>
    <t>WBS-1.12</t>
  </si>
  <si>
    <t>범위·우선순위·일정 검토</t>
  </si>
  <si>
    <t>WBS-1.3, WBS-1.8, WBS-1.9, WBS-1.10, WBS-1.11</t>
  </si>
  <si>
    <t>범위표·일정 초안·역할 배정안</t>
  </si>
  <si>
    <t>핵심·조건부·보류 범위와 확정 담당별 작업량을 검토하고 노션 확장 제안의 채택·보류를 기록한다.</t>
  </si>
  <si>
    <t>확정 담당 배정은 유지. S08의 10/22 주제 미정 기록은 과거 상태로 보존하고 현재 사용자 결정인 사고뭉치 진행을 적용한다. S09 확장 제안은 채택·보류 판단 및 작업량 검토 필요.</t>
  </si>
  <si>
    <t>WBS-2.1</t>
  </si>
  <si>
    <t>화면·데이터·연동 설계</t>
  </si>
  <si>
    <t>세 역할의 화면·사용 흐름 설계</t>
  </si>
  <si>
    <t>FFJ-03, FFJ-04, FFJ-05, FFJ-06, FFJ-07, FFJ-08, FFJ-09, FFJ-10, FFJ-11, FFH-05, FFJ-21, FFH-06, FFH-07, FBN-07, FFH-08, FFH-09, FFH-10, FFJ-22, FFJ-23, FBN-08, FFH-11, FFH-12, FFH-13, FFJ-24, FBF-18</t>
  </si>
  <si>
    <t>화면 흐름도·와이어프레임</t>
  </si>
  <si>
    <t>각 역할의 진입·학습·조회·오류 경로를 연결한다.</t>
  </si>
  <si>
    <t>정상 흐름과 빈 기록·권한 거부를 함께 설계</t>
  </si>
  <si>
    <t>WBS-2.2</t>
  </si>
  <si>
    <t>공개 API·연동 계약 설계</t>
  </si>
  <si>
    <t>입출력·오류·상태 계약</t>
  </si>
  <si>
    <t>화면→서버→AI/PG→기록의 생산자·소비자 계약을 정한다.</t>
  </si>
  <si>
    <t>구현 계층과 기술 선택은 실제 저장소 규칙에 따른다</t>
  </si>
  <si>
    <t>WBS-2.3</t>
  </si>
  <si>
    <t>학습·대화·거래 기록 설계</t>
  </si>
  <si>
    <t>FAD-05, FAC-11, FBN-11, FBF-20</t>
  </si>
  <si>
    <t>ERD·답변 버전·근거 연결 설계</t>
  </si>
  <si>
    <t>학생·학습 시도·원문·판정·거래의 경계와 삭제 영향을 정한다.</t>
  </si>
  <si>
    <t>실제 아동 정보와 학습 원본의 반입 제한 반영</t>
  </si>
  <si>
    <t>WBS-2.4</t>
  </si>
  <si>
    <t>미션·기준표·예시 답 설계</t>
  </si>
  <si>
    <t>WBS-1.9, WBS-1.6</t>
  </si>
  <si>
    <t>FFH-14, FAD-03, FAD-04, FBN-09, FBF-19, FBN-10, FAD-05</t>
  </si>
  <si>
    <t>자체 미션·성취기준·판정 기준표</t>
  </si>
  <si>
    <t>지원 학년·유형·요소·배점·흔한 오답과 공개 조건을 정의한다.</t>
  </si>
  <si>
    <t>문항 수와 애니메이션 제작 범위는 승인 범위에 따른다 / S05의 개념 설명 24항목 예비 대조표·수업 8개 연결 후보를 출발점으로 사용. 공식 매핑·전문가 검수 완료로 간주하지 않음.</t>
  </si>
  <si>
    <t>WBS-2.5</t>
  </si>
  <si>
    <t>학습 데이터·분할 계획 준비</t>
  </si>
  <si>
    <t>WBS-1.10, WBS-1.6</t>
  </si>
  <si>
    <t>FAC-13, FAC-14, FAC-15, FAC-16</t>
  </si>
  <si>
    <t>데이터 구조·문항 그룹 분할 계획</t>
  </si>
  <si>
    <t>데이터 이용 제한을 확인하고 학습·평가 문항을 분리한다.</t>
  </si>
  <si>
    <t>EDA·전처리 등 구현에 필요한 자료 확인 단계 / S05·S07: NCIC·AI-Hub 원본 확보·이용 조건·교육과정 정합성은 별도 확인. 서비스 문항은 자체 제작 범위 유지.</t>
  </si>
  <si>
    <t>WBS-2.6</t>
  </si>
  <si>
    <t>인증·권한·동의 설계</t>
  </si>
  <si>
    <t>WBS-1.8, WBS-2.2, WBS-2.3</t>
  </si>
  <si>
    <t>FFJ-01, FBF-01, FBF-02, FBF-03, FFJ-02, FBN-01, FBN-02, FBF-04, FFJ-25, FBF-21, FBN-12, FFJ-29, FBF-26, FBF-27</t>
  </si>
  <si>
    <t>인증·자녀 연결·동의 상태 설계</t>
  </si>
  <si>
    <t>자녀 범위 확인과 관리자 승인·탈퇴 절차를 정한다.</t>
  </si>
  <si>
    <t>사용자·관리자·외부 도구의 조회 범위를 동일하게 제한</t>
  </si>
  <si>
    <t>WBS-2.7</t>
  </si>
  <si>
    <t>배포·관측·복구 설계</t>
  </si>
  <si>
    <t>주 담당</t>
  </si>
  <si>
    <t>시작일</t>
  </si>
  <si>
    <t>마감일</t>
  </si>
  <si>
    <t>기간
(일정일)</t>
  </si>
  <si>
    <t>완료율</t>
  </si>
  <si>
    <t>FBN-13, FBN-14, FBN-15, FBN-16, FBN-17, FBN-18, FBN-19, FBN-20, FAC-12, FAR-05, FBN-21, FBN-22, FBN-23</t>
  </si>
  <si>
    <t>시스템 구성도·배포·로그·백업·모델 운영 설계</t>
  </si>
  <si>
    <t>경보·비밀 관리·복구·버전 추적의 책임과 기준을 정한다.</t>
  </si>
  <si>
    <t>새 서비스나 운영 도구 도입은 선정 후 확정 / S12: 시스템 구성도 10/30 제출. API·ERD 초안과 병행 설계 후 10/30 정합성을 맞춘다.</t>
  </si>
  <si>
    <t>WBS-2.8</t>
  </si>
  <si>
    <t>PG 테스트·구독 연동 설계</t>
  </si>
  <si>
    <t>WBS-1.11, WBS-2.2, WBS-2.3</t>
  </si>
  <si>
    <t>FFH-19, FFJ-32, FBF-30, FBF-31, FBF-32, FBF-33, FFH-20, FFJ-33, FFJ-34, FBF-34, FBN-25, FFH-21, FBF-35, FBF-36, FAR-06</t>
  </si>
  <si>
    <t>PG 테스트 연동·구독 상태 설계</t>
  </si>
  <si>
    <t>승인 검증·중복·갱신·해지·환불과 이용 권한 연결을 정한다.</t>
  </si>
  <si>
    <t>기본 계획은 테스트 결제, 실결제는 별도 승인 조건</t>
  </si>
  <si>
    <t>WBS-2.9</t>
  </si>
  <si>
    <t>최종 검증·평가 기준 설계</t>
  </si>
  <si>
    <t>WBS-2.1, WBS-2.2, WBS-2.3, WBS-2.4, WBS-2.5</t>
  </si>
  <si>
    <t>FAR-01, FAR-02, FAR-03, FAR-04, FAR-05, FAR-06</t>
  </si>
  <si>
    <t>검증 시나리오·평가표·실행 구분</t>
  </si>
  <si>
    <t>자동·실제 API·PG 테스트·모델 사람 평가·배포 검증을 구분한다.</t>
  </si>
  <si>
    <t>이 단계에서는 기준을 작성하고 구현 중 주기적 시험은 실행하지 않는다 / S06·S10: 규칙·범용 LLM·채택 모델의 설명 정확도, 근거 일치, 정답 선공개, 연령 적합성 비교 기준을 작성한다.</t>
  </si>
  <si>
    <t>WBS-3.1</t>
  </si>
  <si>
    <t>기능·콘텐츠·모델 구현</t>
  </si>
  <si>
    <t>개발 환경·서버 기본 구성</t>
  </si>
  <si>
    <t>WBS-2.2, WBS-2.3, WBS-2.7</t>
  </si>
  <si>
    <t>FBN-13</t>
  </si>
  <si>
    <t>개발·검증 환경과 서버 구성</t>
  </si>
  <si>
    <t>환경 설정과 비밀 정보 분리를 구현한다.</t>
  </si>
  <si>
    <t>실제 동작 검증은 4단계에 모아 수행</t>
  </si>
  <si>
    <t>WBS-3.2</t>
  </si>
  <si>
    <t>가입·로그인·동의 구현</t>
  </si>
  <si>
    <t>WBS-3.1, WBS-2.6, WBS-3.34</t>
  </si>
  <si>
    <t>FFJ-01, FBF-01, FBF-02, FBF-04</t>
  </si>
  <si>
    <t>계정·인증·동의 기능</t>
  </si>
  <si>
    <t>역할별 진입·로그아웃·만료·동의 상태를 구현한다.</t>
  </si>
  <si>
    <t>P01 확정 방식 적용</t>
  </si>
  <si>
    <t>WBS-3.3</t>
  </si>
  <si>
    <t>자녀 연결·접근 권한 구현</t>
  </si>
  <si>
    <t>FBF-03, FFJ-02, FBN-01, FBN-02, FBN-05, FBN-06, FBN-07, FBN-08</t>
  </si>
  <si>
    <t>자녀 연결·조회 범위 제어</t>
  </si>
  <si>
    <t>모든 기록·대화 도구·리포트 요청에 동일한 자녀 권한을 적용한다.</t>
  </si>
  <si>
    <t>다자녀와 연결 해제 정책 반영</t>
  </si>
  <si>
    <t>WBS-3.4</t>
  </si>
  <si>
    <t>계정 복구·수정·탈퇴 구현</t>
  </si>
  <si>
    <t>WBS-3.2, WBS-3.3</t>
  </si>
  <si>
    <t>FFJ-25, FBF-21, FBN-12, FFJ-29, FBF-26, FBF-27</t>
  </si>
  <si>
    <t>복구·프로필·삭제 절차</t>
  </si>
  <si>
    <t>본인 확인과 구독·보관 이력을 구분한 삭제 절차를 구현한다.</t>
  </si>
  <si>
    <t>WBS-1</t>
  </si>
  <si>
    <t>미처리 거래와 삭제 정책 연결</t>
  </si>
  <si>
    <t>WBS-3.5</t>
  </si>
  <si>
    <t>자체 미션·기준표 콘텐츠 제작</t>
  </si>
  <si>
    <t>FAD-01, FAD-03, FAD-04, FAD-05</t>
  </si>
  <si>
    <t>미션·장면·예시 답·기준표</t>
  </si>
  <si>
    <t>성취기준·시연 구분·정답 선공개 방지 조건을 콘텐츠에 반영한다.</t>
  </si>
  <si>
    <t>AI Hub 원문·가공 예시의 서비스 사용 금지 / S07의 자체 제작 수업 8개는 검토·재사용 후보이며 자동으로 납품 콘텐츠 수에 포함하지 않는다.</t>
  </si>
  <si>
    <t>WBS-3.6</t>
  </si>
  <si>
    <t>관리자 문제 운영 화면 구현</t>
  </si>
  <si>
    <t>WBS-3.1, WBS-2.4, WBS-3.34</t>
  </si>
  <si>
    <t>FFJ-10, FFH-14, FBN-09, FBF-19, FBN-10</t>
  </si>
  <si>
    <t>등록·검토·공개·비공개 기능</t>
  </si>
  <si>
    <t>공개 조건·변경 버전·운영 권한과 이력을 구현한다.</t>
  </si>
  <si>
    <t>진행 중 학습과 수정본의 적용 시점 구분</t>
  </si>
  <si>
    <t>WBS-3.7</t>
  </si>
  <si>
    <t>미션 탐색·입력 화면 구현</t>
  </si>
  <si>
    <t>WBS-3.1, WBS-2.1, WBS-2.4</t>
  </si>
  <si>
    <t>FFH-01, FFJ-03, FFJ-04, FFJ-12, FFJ-13, FFJ-14, FFJ-15</t>
  </si>
  <si>
    <t>미션 목록·유형별 입력·도움·메모</t>
  </si>
  <si>
    <t>입력 틀·보호자 받아쓰기·진행 위치·메모 이동을 구현한다.</t>
  </si>
  <si>
    <t>메모 보관과 시연 링크는 승인 정책 범위만 적용</t>
  </si>
  <si>
    <t>WBS-3.8</t>
  </si>
  <si>
    <t>답변 버전·제출 상태 구현</t>
  </si>
  <si>
    <t>WBS-3.1, WBS-2.3, WBS-3.34</t>
  </si>
  <si>
    <t>FBF-05, FBF-06, FBF-07, FBF-08</t>
  </si>
  <si>
    <t>최초·추가 답변·상태 기록</t>
  </si>
  <si>
    <t>답변 버전을 보존하고 저장 실패·중복 제출을 구분한다.</t>
  </si>
  <si>
    <t>AI 처리와 답변 저장 상태 분리</t>
  </si>
  <si>
    <t>WBS-3.9</t>
  </si>
  <si>
    <t>초안 저장·이어하기 구현</t>
  </si>
  <si>
    <t>WBS-3.7, WBS-3.8</t>
  </si>
  <si>
    <t>FBF-24, FFJ-27, FBF-25, FFJ-05, FFJ-17</t>
  </si>
  <si>
    <t>자동 저장·복원·충돌 처리</t>
  </si>
  <si>
    <t>초안·제출 답변·메모 저장 범위를 구분해 구현한다.</t>
  </si>
  <si>
    <t>P05 검토 필요 항목 합의 후 적용</t>
  </si>
  <si>
    <t>WBS-3.10</t>
  </si>
  <si>
    <t>규칙 판정·근거 대조 구현</t>
  </si>
  <si>
    <t>WBS-3.1, WBS-2.4</t>
  </si>
  <si>
    <t>FBF-09, FAC-01, FAC-02</t>
  </si>
  <si>
    <t>정답 규칙·요소 판정·보류 처리</t>
  </si>
  <si>
    <t>동치 답·원문 인용·코드 판정·미검증 보류를 구현한다.</t>
  </si>
  <si>
    <t>LLM 요소 추출과 코드 판정을 분리</t>
  </si>
  <si>
    <t>WBS-3.11</t>
  </si>
  <si>
    <t>학생 되묻기·대화 구현</t>
  </si>
  <si>
    <t>WBS-3.8, WBS-3.10</t>
  </si>
  <si>
    <t>FFH-02, FAC-03, FAC-04, FBN-04, FBF-10</t>
  </si>
  <si>
    <t>학습 대화·금지어 검사·실패 상태</t>
  </si>
  <si>
    <t>답변 근거 기반 질문과 출처·재시도·종료 안내를 구현한다.</t>
  </si>
  <si>
    <t>P04·P16 미합의 대체 응답을 임의 적용하지 않음</t>
  </si>
  <si>
    <t>WBS-3.12</t>
  </si>
  <si>
    <t>결과·돌아보기·자기 평가 구현</t>
  </si>
  <si>
    <t>WBS-3.11, WBS-3.5</t>
  </si>
  <si>
    <t>FBN-03, FFJ-16, FAD-02, FFJ-38</t>
  </si>
  <si>
    <t>결과 비교·체크리스트·돌아보기</t>
  </si>
  <si>
    <t>근거 구절 체크와 학생 자기 평가를 구분해 저장한다.</t>
  </si>
  <si>
    <t>자기 평가는 선택 범위 결정에 따름</t>
  </si>
  <si>
    <t>WBS-3.13</t>
  </si>
  <si>
    <t>사용 환경·음성 학습 보조 구현</t>
  </si>
  <si>
    <t>WBS-3.7, WBS-3.9</t>
  </si>
  <si>
    <t>FFH-16, FFJ-28, FAD-06, FFJ-35, FFJ-36, FFJ-37, FFJ-39</t>
  </si>
  <si>
    <t>반응형·접근성·학습 보조</t>
  </si>
  <si>
    <t>목록 접기·움직임 줄이기와 승인된 STT/TTS 범위를 구현한다.</t>
  </si>
  <si>
    <t>음성 기능 조건부: 성인 시연·원음 미저장·판정 제외</t>
  </si>
  <si>
    <t>WBS-3.14</t>
  </si>
  <si>
    <t>학생 대시보드 연결</t>
  </si>
  <si>
    <t>WBS-3.9, WBS-3.8, WBS-2.1</t>
  </si>
  <si>
    <t>FFH-05, FFJ-21, FFH-06, FFH-07, FBN-07</t>
  </si>
  <si>
    <t>학생 홈·최근 기록·이어하기</t>
  </si>
  <si>
    <t>현재 학생과 학습 상태를 실제 기록에 연결한다.</t>
  </si>
  <si>
    <t>권한·빈 기록·오류 표시 포함</t>
  </si>
  <si>
    <t>WBS-3.15</t>
  </si>
  <si>
    <t>학부모 조회 도구·집계 구현</t>
  </si>
  <si>
    <t>FAC-05, FBF-11, FBF-15, FBF-16, FAC-08, FAC-09</t>
  </si>
  <si>
    <t>조회 도구·기간·계산 근거</t>
  </si>
  <si>
    <t>분자·분모·출처와 전후 변화의 계산 규칙을 구현한다.</t>
  </si>
  <si>
    <t>작은 표본·도움 없이 시작한 비율 기준 합의 필요</t>
  </si>
  <si>
    <t>WBS-3.16</t>
  </si>
  <si>
    <t>학부모 분석 대화 구현</t>
  </si>
  <si>
    <t>WBS-3.15, WBS-3.3</t>
  </si>
  <si>
    <t>FFH-03, FBN-05, FFJ-18, FAC-05, FBF-11, FAC-06, FFJ-19, FFJ-20, FAC-07, FBF-12, FBF-13, FFJ-40</t>
  </si>
  <si>
    <t>분석 질의·근거·대화 이력</t>
  </si>
  <si>
    <t>자녀·기간·숫자·인용 검증과 예시 질문을 연결한다.</t>
  </si>
  <si>
    <t>실패·기록 부족·규칙 모드의 구분 유지</t>
  </si>
  <si>
    <t>WBS-3.17</t>
  </si>
  <si>
    <t>주간 리포트 생성·조회 구현</t>
  </si>
  <si>
    <t>WBS-3.15, WBS-3.8</t>
  </si>
  <si>
    <t>FBF-14, FAC-10, FFH-04, FBF-17, FAC-16</t>
  </si>
  <si>
    <t>주간 생성·요약·리포트 상태</t>
  </si>
  <si>
    <t>요약 근거 대조·돌아보기·생성 실패를 구현한다.</t>
  </si>
  <si>
    <t>sLLM 설명은 검증·활성화 범위에서만 사용</t>
  </si>
  <si>
    <t>WBS-3.18</t>
  </si>
  <si>
    <t>학부모 대시보드·파일 내보내기</t>
  </si>
  <si>
    <t>김동섭</t>
  </si>
  <si>
    <t>WBS-3.16, WBS-3.17</t>
  </si>
  <si>
    <t>FFH-08, FFH-09, FFH-10, FFJ-22, FFJ-23, FBN-08, FFJ-06, FFJ-07, FFJ-08, FBF-37</t>
  </si>
  <si>
    <t>현황·근거 이동·다운로드</t>
  </si>
  <si>
    <t>자녀·기간을 유지하고 권한 확인 후 파일을 제공한다.</t>
  </si>
  <si>
    <t>Markdown/PDF 제공 범위는 P06 결정에 따름</t>
  </si>
  <si>
    <t>WBS-3.19</t>
  </si>
  <si>
    <t>오류 신고·도움말·문의 구현</t>
  </si>
  <si>
    <t>WBS-3.11, WBS-3.15, WBS-3.3</t>
  </si>
  <si>
    <t>FFJ-26, FBF-22, FBF-23, FFH-15, FFH-17, FBF-28, FFH-18</t>
  </si>
  <si>
    <t>신고·검토·정정·문의·공지</t>
  </si>
  <si>
    <t>접수와 검토 결과·정정 이력을 연결하고 원문 답변을 유지한다.</t>
  </si>
  <si>
    <t>일반 문의와 AI 오류 신고 구분</t>
  </si>
  <si>
    <t>WBS-3.20</t>
  </si>
  <si>
    <t>사용자 알림 구현</t>
  </si>
  <si>
    <t>최인영</t>
  </si>
  <si>
    <t>WBS-3.17, WBS-3.19, WBS-3.23</t>
  </si>
  <si>
    <t>FBF-29, FFJ-30, FFJ-31, FBN-24</t>
  </si>
  <si>
    <t>알림 생성·읽음·수신 설정</t>
  </si>
  <si>
    <t>같은 사건의 중복 알림과 민감 정보 노출을 방지한다.</t>
  </si>
  <si>
    <t>운영 장애 경보와 사용자 알림 분리</t>
  </si>
  <si>
    <t>WBS-3.21</t>
  </si>
  <si>
    <t>관리자 대시보드·조치 연결</t>
  </si>
  <si>
    <t>최성욱</t>
  </si>
  <si>
    <t>WBS-3.6, WBS-3.19, WBS-3.25</t>
  </si>
  <si>
    <t>FFH-11, FFH-12, FFH-13, FFJ-24, FBF-18, FFJ-09, FFJ-10, FFJ-11</t>
  </si>
  <si>
    <t>김재현</t>
  </si>
  <si>
    <t>운영 집계·상세·조치 이력</t>
  </si>
  <si>
    <t>문제·작업 상태와 승인된 재처리 경로를 연결한다.</t>
  </si>
  <si>
    <t>관리자 권한이 학생 원문 무제한 열람을 뜻하지 않음</t>
  </si>
  <si>
    <t>WBS-3.22</t>
  </si>
  <si>
    <t>PG 테스트 결제·승인 구현</t>
  </si>
  <si>
    <t>WBS-3.1, WBS-2.8, WBS-2.6, WBS-3.34</t>
  </si>
  <si>
    <t>FFH-19, FFJ-32, FBF-30, FBF-31, FBN-25</t>
  </si>
  <si>
    <t>주문·승인 확인·중복 처리</t>
  </si>
  <si>
    <t>PG 테스트 설정으로 승인·금액 대조·상태 통지를 구현한다.</t>
  </si>
  <si>
    <t>실제 결제 시험 실행은 최종 검증 단계</t>
  </si>
  <si>
    <t>WBS-3.23</t>
  </si>
  <si>
    <t>구독·갱신·해지·환불 구현</t>
  </si>
  <si>
    <t>WBS-3.22, WBS-3.3</t>
  </si>
  <si>
    <t>FBF-32, FBF-33, FFH-20, FFJ-33, FFJ-34, FBF-34</t>
  </si>
  <si>
    <t>구독 상태·권한·청구·해지·환불</t>
  </si>
  <si>
    <t>거래 상태와 대상 자녀의 이용 권한을 연결한다.</t>
  </si>
  <si>
    <t>갱신 실패·유예·환불 정책 확정 범위만 적용</t>
  </si>
  <si>
    <t>WBS-3.24</t>
  </si>
  <si>
    <t>결제 운영·거래 대조 구현</t>
  </si>
  <si>
    <t>WBS-2</t>
  </si>
  <si>
    <t>FFH-21, FBF-35, FBF-36, FAR-06</t>
  </si>
  <si>
    <t>거래 조회·대조·환불 승인</t>
  </si>
  <si>
    <t>PG 상태 불일치와 중복·초과 환불 방지 경로를 구현한다.</t>
  </si>
  <si>
    <t>운영 전환 검증은 4.4와 4.7에서 수행</t>
  </si>
  <si>
    <t>WBS-3.25</t>
  </si>
  <si>
    <t>로그·경보·재시도·백업 구현</t>
  </si>
  <si>
    <t>WBS-3.1, WBS-2.7</t>
  </si>
  <si>
    <t>FBN-13, FBN-14, FBN-15, FBN-16, FBN-17, FBN-18, FBN-19, FBN-20</t>
  </si>
  <si>
    <t>상태 관측·복구·백업 절차</t>
  </si>
  <si>
    <t>요청 추적·비밀 관리·외부 장애·복구 기능을 구성한다.</t>
  </si>
  <si>
    <t>구성·백업·복구는 김동섭, 모니터링·장애 대응 총괄은 김태윤</t>
  </si>
  <si>
    <t>WBS-3.26</t>
  </si>
  <si>
    <t>모델 버전·활성화·사용량 구현</t>
  </si>
  <si>
    <t>WBS-3.25, WBS-2.5</t>
  </si>
  <si>
    <t>FAC-12, FAR-05, FBN-21, FBN-22, FBN-23</t>
  </si>
  <si>
    <t>버전 추적·활성화·비용 기록</t>
  </si>
  <si>
    <t>결과 버전과 사용량을 연결하고 승인 전 모델은 비활성으로 둔다.</t>
  </si>
  <si>
    <t>활성화 결정은 최종 모델 평가 이후</t>
  </si>
  <si>
    <t>WBS-3.27</t>
  </si>
  <si>
    <t>M2 학습·기준선 산출</t>
  </si>
  <si>
    <t>황수빈</t>
  </si>
  <si>
    <t>WBS-2.5, WBS-2.2, WBS-3.33</t>
  </si>
  <si>
    <t>FAC-13</t>
  </si>
  <si>
    <t>M2 학습 모델·2종 이상 비교·학습 설정·결과서 기초자료</t>
  </si>
  <si>
    <t>문항 그룹 분할을 유지하여 모델을 학습하고 후보 2종 이상의 비교·선정 사유·버전·입출력·저장과 재로딩 방법을 정리한다.</t>
  </si>
  <si>
    <t>학습 과정의 모델 실험이며 최종 품질 평가는 4.2에서 수행 / S12·S13: 모델 파일과 학습 결과서는 11/13 제출. 학습 실험 결과와 11/25~26 독립 사람 평가·서비스 통합 검증을 구분.</t>
  </si>
  <si>
    <t>WBS-3.28</t>
  </si>
  <si>
    <t>설명 sLLM 학습·기본 모델 비교</t>
  </si>
  <si>
    <t>WBS-2.5, WBS-1.10</t>
  </si>
  <si>
    <t>FAC-14</t>
  </si>
  <si>
    <t>설명 모델 후보·학습 기록</t>
  </si>
  <si>
    <t>자체 sLLM 학습 목적·데이터·설정·기본 모델 대비 정량·정성 비교와 모델 파일을 11/20까지 준비한다.</t>
  </si>
  <si>
    <t>S12·S13: 4번 주제의 sLLM 산출물은 필수 안내. 학습 결과·한계를 사실대로 제출하고 서비스 활성화는 최종 독립 평가 후 승인. 기존 조건부 문구와의 차이는 검토 필요로 기록.</t>
  </si>
  <si>
    <t>WBS-3.29</t>
  </si>
  <si>
    <t>M1 수학 비교 실험</t>
  </si>
  <si>
    <t>FAC-15</t>
  </si>
  <si>
    <t>M1 전처리·비교 후보</t>
  </si>
  <si>
    <t>라벨 zip·평문화·문항 그룹 분할과 비교 결과를 정리한다.</t>
  </si>
  <si>
    <t>조건부: 임시 확신도 0.8을 승인 기준으로 자동 적용하지 않음</t>
  </si>
  <si>
    <t>WBS-3.30</t>
  </si>
  <si>
    <t>모델 결과·리포트 연동 구성</t>
  </si>
  <si>
    <t>WBS-3.27, WBS-3.28, WBS-3.29, WBS-2.2</t>
  </si>
  <si>
    <t>FAC-11, FAC-12, FBN-21, FBN-23</t>
  </si>
  <si>
    <t>모델 입력·관찰·설명 연동</t>
  </si>
  <si>
    <t>결과와 버전을 연결하고 미활성·불일치·실패를 구분한다.</t>
  </si>
  <si>
    <t>승인 전 공개 활성화는 하지 않음 / 11/20 LLM 활용 소프트웨어 제출용 AI 연동 버전. UI·운영·전체 연결의 최종 마감은 11/24.</t>
  </si>
  <si>
    <t>WBS-3.31</t>
  </si>
  <si>
    <t>최종 자동 검증 코드 작성</t>
  </si>
  <si>
    <t>FAR-01, FAR-02, FAR-03, FAR-04, FAR-05, FAR-06, FBN-11</t>
  </si>
  <si>
    <t>검증 코드·평가 스크립트·시나리오</t>
  </si>
  <si>
    <t>구현과 관련 설정·테스트 코드를 완료하여 일괄 실행을 준비한다.</t>
  </si>
  <si>
    <t>김태윤이 통합 QA를 총괄하고 각 모듈 담당자가 테스트 코드를 작성한다. 실행은 4단계에 모은다.</t>
  </si>
  <si>
    <t>WBS-3.32</t>
  </si>
  <si>
    <t>전체 연결 구현·문서 정리</t>
  </si>
  <si>
    <t>WBS-3.14, WBS-3.18, WBS-3.20, WBS-3.21, WBS-3.24, WBS-3.26, WBS-3.30, WBS-3.33, WBS-3.34, WBS-3.35, WBS-3.36</t>
  </si>
  <si>
    <t>FFJ-03, FFJ-04, FFJ-05, FAD-05, FAC-11, FBN-11, FBF-20</t>
  </si>
  <si>
    <t>연결된 서비스·설정·실행 문서</t>
  </si>
  <si>
    <t>생산자·소비자 호출 경로와 정책·설정 반영을 마친다.</t>
  </si>
  <si>
    <t>산출물 마감에 맞춰 전체 구현·설정·문서·테스트 코드 작성을 11/24 마감한다. 최종 자동 검증은 11/25부터 수행. 같은 날 선행 구현 완료 후 순차 진행.</t>
  </si>
  <si>
    <t>WBS-3.33</t>
  </si>
  <si>
    <t>학습 데이터 정제·전처리 결과 정리</t>
  </si>
  <si>
    <t>정제 데이터·전처리 코드·결과서</t>
  </si>
  <si>
    <t>결측·중복·이상치·라벨·스키마·학습/평가 분할과 처리 전후 건수를 정리한다.</t>
  </si>
  <si>
    <t>S12·S13: 전처리 결과서 11/06 제출. M2 학습은 전처리 완료 뒤 11/04 착수. 데이터 확보 범위와 이용 제한 유지.</t>
  </si>
  <si>
    <t>WBS-3.34</t>
  </si>
  <si>
    <t>DB 스키마·DDL·저장소 명세 작성</t>
  </si>
  <si>
    <t>ERD·DDL·테이블 명세·저장소 설계서</t>
  </si>
  <si>
    <t>2.3의 논리 설계를 실제 스키마·마이그레이션·관계·입출력·보안·무결성 문서로 구체화한다.</t>
  </si>
  <si>
    <t>S12·S13: DB/저장소 설계 문서 11/06 제출. 이후 계정·학습·거래 구현이 이 결과를 사용.</t>
  </si>
  <si>
    <t>WBS-3.35</t>
  </si>
  <si>
    <t>검색 저장소 구축·결과서 정리</t>
  </si>
  <si>
    <t>WBS-2.5, WBS-3.33</t>
  </si>
  <si>
    <t>선정한 검색 저장소·스키마·구축 결과서</t>
  </si>
  <si>
    <t>사용 목적에 맞는 VectorDB 또는 GraphDB를 선정하고 허용된 자료의 적재·검색 실험·갱신/삭제 경로와 결과를 정리한다.</t>
  </si>
  <si>
    <t>S12·S13: 구축 결과서 11/13 제출 대상. 현재 요구사항 v0.3에 명시한 서비스 기능과 적용 경계를 1.12에서 검토. 미적용 시 대체 산출물 허용 여부를 멘토 확인하며 제출 의무를 임의 삭제하지 않음.</t>
  </si>
  <si>
    <t>WBS-3.36</t>
  </si>
  <si>
    <t>최종 발표·시연 시나리오 초안 작성</t>
  </si>
  <si>
    <t>WBS-3</t>
  </si>
  <si>
    <t>WBS-5.10, WBS-3.30</t>
  </si>
  <si>
    <t>발표 초안·시연 순서·예상 질문</t>
  </si>
  <si>
    <t>핵심 사용자 흐름과 실제 구현 범위로 발표·시연 초안을 작성한다. 성능·검증 결과는 최종 평가 후 갱신한다.</t>
  </si>
  <si>
    <t>중간발표 피드백을 반영. 5.19 최종 PT·5.21 영상 제출 전 검증 결과·한계·배포 상태를 갱신.</t>
  </si>
  <si>
    <t>WBS-4.1</t>
  </si>
  <si>
    <t>최종 일괄 검증·배포·인계</t>
  </si>
  <si>
    <t>필수 자동 검증·정적 검사 일괄 실행</t>
  </si>
  <si>
    <t>WBS-3.1, WBS-3.2, WBS-3.3, WBS-3.4, WBS-3.5, WBS-3.6, WBS-3.7, WBS-3.8, WBS-3.9, WBS-3.10, WBS-3.11, WBS-3.12, WBS-3.13, WBS-3.14, WBS-3.15, WBS-3.16, WBS-3.17, WBS-3.18, WBS-3.19, WBS-3.20, WBS-3.21, WBS-3.22, WBS-3.23, WBS-3.24, WBS-3.25, WBS-3.26, WBS-3.27, WBS-3.28, WBS-3.29, WBS-3.30, WBS-3.31, WBS-3.32, WBS-3.33, WBS-3.34, WBS-3.35, WBS-3.36</t>
  </si>
  <si>
    <t>FAR-01</t>
  </si>
  <si>
    <t>자동 검증·정적 검사 결과</t>
  </si>
  <si>
    <t>구현·설정·테스트 코드 완료 후 필요한 시험·lint·build·git diff --check를 모아 실행한다.</t>
  </si>
  <si>
    <t>11/24 전체 구현·설정·테스트 코드 마감 후 11/25~26 일괄 실행. 실제 명령·환경·결과와 미실행 범위를 기록.</t>
  </si>
  <si>
    <t>WBS-4.2</t>
  </si>
  <si>
    <t>모델 품질·독립 사람 평가</t>
  </si>
  <si>
    <t>WBS-3.27, WBS-3.28, WBS-3.29, WBS-3.30, WBS-3.31, WBS-3.32</t>
  </si>
  <si>
    <t>FAR-02, FAR-05, FAC-13, FAC-14, FAC-15, FAC-16</t>
  </si>
  <si>
    <t>지표·독립 채점·설명 평가 보고</t>
  </si>
  <si>
    <t>학습에 쓰지 않은 문항·사람 채점으로 기준 충족 범위를 확인한다. 설명 정확도·근거 오류·정답 선공개·연령 적합성을 분리하고 규칙/범용 LLM/채택 모델 비교 결과와 표본을 기록한다.</t>
  </si>
  <si>
    <t>모델 평가는 김재현, 사람 채점은 김동섭, 일치도·시각화는 황수빈, LLM 출력 검증은 최성욱. 독립 채점 2인 명단은 추후 확정.</t>
  </si>
  <si>
    <t>WBS-4.3</t>
  </si>
  <si>
    <t>학생·학부모·관리자 연결 검증</t>
  </si>
  <si>
    <t>FFJ-03, FFJ-04, FFJ-05, FFJ-06, FFJ-07, FFJ-08, FFJ-09, FFJ-10, FFJ-11, FFH-16, FFJ-28, FAD-06</t>
  </si>
  <si>
    <t>브라우저·실제 API 연결 결과</t>
  </si>
  <si>
    <t>학습 전후 기록→분석→리포트와 역할·자녀 분리를 실제 경로에서 확인한다.</t>
  </si>
  <si>
    <t>모의 응답과 실제 API 결과를 구분</t>
  </si>
  <si>
    <t>WBS-4.4</t>
  </si>
  <si>
    <t>PG 테스트·구독 권한 검증</t>
  </si>
  <si>
    <t>FAR-04, FAR-06, FFH-19, FFJ-32, FBF-30, FBF-31, FBF-32, FBF-33, FFH-20, FFJ-33, FFJ-34, FBF-34, FBN-25, FFH-21, FBF-35, FBF-36</t>
  </si>
  <si>
    <t>PG 테스트 거래와 권한 대조 결과</t>
  </si>
  <si>
    <t>승인·실패·중복·갱신·해지·환불 후 권한 일치를 확인한다.</t>
  </si>
  <si>
    <t>PG 테스트 기본, 실결제는 계약·승인 여부에 따라 별도 기록</t>
  </si>
  <si>
    <t>WBS-4.5</t>
  </si>
  <si>
    <t>보안·장애·복구·지연 확인</t>
  </si>
  <si>
    <t>FAR-03, FBN-13, FBN-14, FBN-15, FBN-16, FBN-17, FBN-18, FBN-19, FBN-20, FAC-12, FAR-05, FBN-21, FBN-22, FBN-23</t>
  </si>
  <si>
    <t>권한·복구·경보·성능 측정 결과</t>
  </si>
  <si>
    <t>접근 거부·민감정보 비노출·외부 실패·백업 복구·모델 되돌리기를 확인한다.</t>
  </si>
  <si>
    <t>측정하지 않은 성능 개선이나 운영 안정성을 단정하지 않음</t>
  </si>
  <si>
    <t>WBS-4.6</t>
  </si>
  <si>
    <t>실패 수정·영향 범위 재검증</t>
  </si>
  <si>
    <t>WBS-4.2, WBS-4.3, WBS-4.4, WBS-4.5, WBS-4.11</t>
  </si>
  <si>
    <t>수정 결과와 영향 범위 검증</t>
  </si>
  <si>
    <t>실패 원인 수정 후 실패 항목·영향 경로만 다시 확인한다.</t>
  </si>
  <si>
    <t>통과 후 추가 변경·우려가 없으면 같은 검증을 반복하지 않음 / 12/04 서비스 테스트 결과서 마감 전 실패 수정·영향 범위 재검증 및 결과를 확정.</t>
  </si>
  <si>
    <t>WBS-4.7</t>
  </si>
  <si>
    <t>범위·모델·배포 승인 판단</t>
  </si>
  <si>
    <t>FAC-11, FAR-05, FAR-06</t>
  </si>
  <si>
    <t>활성화·보류 목록과 승인 기록</t>
  </si>
  <si>
    <t>모델·선택 기능·결제의 승인 범위와 잔여 한계를 확정한다.</t>
  </si>
  <si>
    <t>기준 미달 모델은 비활성·평가 보고서로 정리</t>
  </si>
  <si>
    <t>WBS-4.8</t>
  </si>
  <si>
    <t>승인 버전 배포·시연 계정 준비</t>
  </si>
  <si>
    <t>FBN-14, FBN-15</t>
  </si>
  <si>
    <t>배포 URL·가상 시연 계정·복구 버전</t>
  </si>
  <si>
    <t>승인된 버전을 배포하고 시연 계정·환경과 복구 기준을 기록한다.</t>
  </si>
  <si>
    <t>배포·복구 구성은 김동섭, 시연 계정 운영은 김태윤. 같은 날 선행 승인 후 순차 진행.</t>
  </si>
  <si>
    <t>WBS-4.9</t>
  </si>
  <si>
    <t>배포 환경의 실제 경로 확인</t>
  </si>
  <si>
    <t>FBN-14, FFJ-03, FFJ-04, FFJ-05, FFJ-06, FFJ-07, FFJ-08, FFJ-09, FFJ-10, FFJ-11</t>
  </si>
  <si>
    <t>배포 후 연결 확인 결과</t>
  </si>
  <si>
    <t>배포 URL에서 로그인·학습·대화·리포트·관리자 흐름을 확인한다.</t>
  </si>
  <si>
    <t>로컬·원격 CI·배포 검증 결과를 구분</t>
  </si>
  <si>
    <t>WBS-4.10</t>
  </si>
  <si>
    <t>최종 산출물·미완료 항목 인계</t>
  </si>
  <si>
    <t>요구사항·WBS·실행·평가·운영 인계</t>
  </si>
  <si>
    <t>실제 완료·미완료·보류·미배포 상태와 후속 작업을 정리한다.</t>
  </si>
  <si>
    <t>동일 일자 내 4.9 완료 후 최종 인계</t>
  </si>
  <si>
    <t>WBS-4.11</t>
  </si>
  <si>
    <t>에이전트 연동·근거·종료 조건 검증</t>
  </si>
  <si>
    <t>WBS-4.1, WBS-4.2</t>
  </si>
  <si>
    <t>에이전트 통합 검증·모델 평가 결과</t>
  </si>
  <si>
    <t>LLM·선정한 검색 저장소·모델·외부 API의 호출 경로, 근거 인용, 오류·재시도·종료 조건을 실제 경로에서 검증하고 결과를 남긴다.</t>
  </si>
  <si>
    <t>S12: 멀티 에이전트 테스트 보고서 11/27 제출. 미구현·미검증 항목은 결과로 구분. 사용자 역할·결제·운영 전체 검증은 4.3~4.5에서 별도 수행.</t>
  </si>
  <si>
    <t>WBS-5.1</t>
  </si>
  <si>
    <t>산출물 제출·발표 (병행)</t>
  </si>
  <si>
    <t>요구사항 정의서 제출</t>
  </si>
  <si>
    <t>공식 산출물 일정 S12</t>
  </si>
  <si>
    <t>요구사항 정의서</t>
  </si>
  <si>
    <t>151개 요구사항 ID·우선순위·예외·변경 이력과 실제 제출 링크를 확인한다.</t>
  </si>
  <si>
    <t>S12 전체 일정 대시보드의 공식 제출 마감. S13 산출물 설명·필수 여부와 대조. 제출 기한은 계획이며 실제 제출·강사 확인 상태는 증빙 확인 후 입력.</t>
  </si>
  <si>
    <t>WBS-5.2</t>
  </si>
  <si>
    <t>WBS 제출</t>
  </si>
  <si>
    <t>WBS</t>
  </si>
  <si>
    <t>10/16 시작·1주차 10/23 마감·담당·산출물 기한·선후관계와 읽을 수 있는 파일/캡처를 제출한다.</t>
  </si>
  <si>
    <t>WBS-5.3</t>
  </si>
  <si>
    <t>프로젝트 기획서 제출</t>
  </si>
  <si>
    <t>프로젝트 기획서</t>
  </si>
  <si>
    <t>문제·타겟·해결 흐름·AI 활용 이유·데이터·역할과 범위를 정리해 제출한다.</t>
  </si>
  <si>
    <t>WBS-5.4</t>
  </si>
  <si>
    <t>수집 데이터 보고서 제출</t>
  </si>
  <si>
    <t>수집 데이터 보고서</t>
  </si>
  <si>
    <t>확보 데이터의 종류·규모·출처·수집 방법·권리·개인정보·품질을 기록한다. 미확보 후보와 확보분을 구분한다.</t>
  </si>
  <si>
    <t>WBS-5.5</t>
  </si>
  <si>
    <t>AI 시스템 아키텍처 제출</t>
  </si>
  <si>
    <t>AI 시스템 아키텍처(멀티 에이전트)</t>
  </si>
  <si>
    <t>사용자→라우팅·분석·판정·생성→저장→응답의 역할·입출력·오류 경로를 시각화한다.</t>
  </si>
  <si>
    <t>WBS-5.6</t>
  </si>
  <si>
    <t>화면설계서 제출</t>
  </si>
  <si>
    <t>WBS-2.1, WBS-2.2</t>
  </si>
  <si>
    <t>화면설계서</t>
  </si>
  <si>
    <t>학생·학부모·관리자 화면 ID·경로·요구사항·입출력·예외·권한과 이동 흐름을 제출한다.</t>
  </si>
  <si>
    <t>WBS-5.7</t>
  </si>
  <si>
    <t>시스템 구성도 제출</t>
  </si>
  <si>
    <t>시스템 구성도</t>
  </si>
  <si>
    <t>클라우드·프론트·서버·DB·모델 서빙·비밀 관리의 연결과 기술 버전을 정리한다.</t>
  </si>
  <si>
    <t>WBS-5.8</t>
  </si>
  <si>
    <t>DB/저장소 설계 문서 제출</t>
  </si>
  <si>
    <t>데이터베이스/저장소 설계 문서</t>
  </si>
  <si>
    <t>ERD·DDL·테이블 명세·비정형 저장 목적·입출력·보안·무결성을 제출한다.</t>
  </si>
  <si>
    <t>WBS-5.9</t>
  </si>
  <si>
    <t>데이터 전처리 결과서 제출</t>
  </si>
  <si>
    <t>데이터 전처리 결과서</t>
  </si>
  <si>
    <t>처리 기준·전후 건수·코드·스키마·분할·재현 방법을 결과서로 제출한다.</t>
  </si>
  <si>
    <t>WBS-5.10</t>
  </si>
  <si>
    <t>중간 발표자료 작성·제출·발표</t>
  </si>
  <si>
    <t>WBS-2.1, WBS-2.2, WBS-2.3, WBS-2.4</t>
  </si>
  <si>
    <t>중간 발표 PT 자료</t>
  </si>
  <si>
    <t>11/06 중간발표. 문제·서비스 흐름·설계·데이터 확보 현황·MVP 보고와 미구현·향후 일정을 구분해 작성·발표한다.</t>
  </si>
  <si>
    <t>WBS-5.11</t>
  </si>
  <si>
    <t>ML/DL 학습결과서 제출</t>
  </si>
  <si>
    <t>머신러닝/딥러닝 학습결과서</t>
  </si>
  <si>
    <t>2종 이상 비교·환경·설정·학습/평가 데이터·선정 사유·한계와 실제 학습 결과를 제출한다.</t>
  </si>
  <si>
    <t>WBS-5.12</t>
  </si>
  <si>
    <t>학습한 ML/DL 모델 제출</t>
  </si>
  <si>
    <t>학습한 ML/DL 모델</t>
  </si>
  <si>
    <t>모델 파일·입출력·전처리 의존성·저장/로드·버전과 연계 방법을 제출한다.</t>
  </si>
  <si>
    <t>WBS-5.13</t>
  </si>
  <si>
    <t>검색 저장소 구축 결과서 제출</t>
  </si>
  <si>
    <t>벡터DB/GraphDB 구축 결과서</t>
  </si>
  <si>
    <t>선정 저장소의 목적·스키마·구축·검색 실험·갱신/삭제 결과와 미확인 범위를 제출한다.</t>
  </si>
  <si>
    <t>WBS-5.14</t>
  </si>
  <si>
    <t>LLM 활용 소프트웨어 제출</t>
  </si>
  <si>
    <t>WBS-3.11, WBS-3.16, WBS-3.17, WBS-3.30</t>
  </si>
  <si>
    <t>LLM 활용 소프트웨어</t>
  </si>
  <si>
    <t>LLM 처리·입출력·근거·분석 대화·리포트 연동 버전의 코드·실행 방법과 미완료 범위를 제출한다. 전체 서비스 최종본은 12/08.</t>
  </si>
  <si>
    <t>WBS-5.15</t>
  </si>
  <si>
    <t>자체 sLLM 산출물 제출</t>
  </si>
  <si>
    <t>자체 sLLM 인공지능</t>
  </si>
  <si>
    <t>학습 목적·데이터·기본 모델 비교·학습 모델·코드·한계를 제출한다. 서비스 활성화 승인과 분리한다.</t>
  </si>
  <si>
    <t>WBS-5.16</t>
  </si>
  <si>
    <t>에이전트 테스트 보고서 제출</t>
  </si>
  <si>
    <t>멀티 에이전트 테스트 계획 및 결과 보고서</t>
  </si>
  <si>
    <t>계획·실제 실행·결과·sLLM 평가·미검증·실패와 조치 대상을 보고서로 제출한다.</t>
  </si>
  <si>
    <t>WBS-5.17</t>
  </si>
  <si>
    <t>서비스 테스트 보고서 제출</t>
  </si>
  <si>
    <t>서비스 테스트 계획 및 결과 보고서</t>
  </si>
  <si>
    <t>역할별 사용자 흐름·결제 테스트·보안·복구·버그 조치와 영향 재검증·잔여 한계를 제출한다.</t>
  </si>
  <si>
    <t>WBS-5.18</t>
  </si>
  <si>
    <t>LLM 연동 웹 애플리케이션 제출</t>
  </si>
  <si>
    <t>개발된 LLM 연동 웹 애플리케이션</t>
  </si>
  <si>
    <t>승인 버전의 실제 배포 URL·실행 문서·권한·핵심 사용자 경로와 실제 검증 결과를 제출한다.</t>
  </si>
  <si>
    <t>WBS-5.19</t>
  </si>
  <si>
    <t>최종 발표자료 확정·제출·발표</t>
  </si>
  <si>
    <t>WBS-3.36, WBS-4.6</t>
  </si>
  <si>
    <t>최종 발표 PT 자료</t>
  </si>
  <si>
    <t>12/08 최종발표. 실제 수치·기능·한계·미완료·운영 상태로 자료를 갱신하고 기술·서비스 질의응답을 준비한다.</t>
  </si>
  <si>
    <t>WBS-5.20</t>
  </si>
  <si>
    <t>프로젝트 개발 소스코드 제출</t>
  </si>
  <si>
    <t>프로젝트 개발 소스코드</t>
  </si>
  <si>
    <t>제출 버전·저장소·실행 환경·의존성·사용법과 비밀 정보 비노출을 확인한다. 이 WBS 작성 작업에서 실제 push·제출을 수행한 의미는 아님.</t>
  </si>
  <si>
    <t>WBS-5.21</t>
  </si>
  <si>
    <t>시연영상 촬영·확정·제출</t>
  </si>
  <si>
    <t>WBS-3.36, WBS-4.8</t>
  </si>
  <si>
    <t>시연영상</t>
  </si>
  <si>
    <t>12/07 촬영·계정·환경을 준비하고 12/08 배포 경로 검증 결과에 맞춰 핵심 학습·대화·리포트 흐름의 MP4를 확정·제출한다.</t>
  </si>
  <si>
    <t>확인된 역할 분담과 책임 경계</t>
  </si>
  <si>
    <t>이름</t>
  </si>
  <si>
    <t>담당</t>
  </si>
  <si>
    <t>확인된 책임 범위</t>
  </si>
  <si>
    <t>PM·Ops</t>
  </si>
  <si>
    <t>일정·범위·WBS·회의·산출물·발표. 통합 QA 총괄, 시연 계정 운영, 서비스 모니터링과 장애 대응.</t>
  </si>
  <si>
    <t>APM·Infra</t>
  </si>
  <si>
    <t>미션·성취기준·채점 기준표·예시 답안·사람 채점. Docker·AWS·CI/CD와 백업·배포 복구 구성.</t>
  </si>
  <si>
    <t>LLM·ML/DL</t>
  </si>
  <si>
    <t>M2 점수 모델과 sLLM 설명 모델의 학습·추론·평가 및 모델 서빙 API. M1 비교 실험도 모델 개발 범위에서 담당.</t>
  </si>
  <si>
    <t>Backend·DB</t>
  </si>
  <si>
    <t>FastAPI 서버·API 명세·백엔드 테스트·PostgreSQL 설계/마이그레이션. 계정·자녀 연결·알림·결제/구독·문의 백엔드.</t>
  </si>
  <si>
    <t>LLM·ML/DL·Backend</t>
  </si>
  <si>
    <t>기준표·규칙·LLM을 묶는 판정 파이프라인, 프롬프트·분석 에이전트·리포트 계산과 AI 기능의 FastAPI 연동.</t>
  </si>
  <si>
    <t>ML/DL·Frontend</t>
  </si>
  <si>
    <t>학생·학부모·관리자 전체 프론트엔드와 반응형 UI/UX. 채점 일치도 계산·모델 평가 결과 시각화.</t>
  </si>
  <si>
    <t>일정 검토: 프론트엔드(황수빈)·일반 백엔드(최인영)의 병행 작업은 작업량·가용 시간 확인 후 조정한다. 작업 건수·근무일은 인일 공수가 아니다. 독립 사람 채점 2인의 명단은 평가 전에 확정한다.</t>
  </si>
  <si>
    <t>1단계 번호 변경 대응 (직전 노션 반영본 기준)</t>
  </si>
  <si>
    <t>직전 번호</t>
  </si>
  <si>
    <t>현재 번호</t>
  </si>
  <si>
    <t>작업 내용</t>
  </si>
  <si>
    <t>WBS-4</t>
  </si>
  <si>
    <t>신규</t>
  </si>
  <si>
    <t>실제 진행 기록과 WBS 연결</t>
  </si>
  <si>
    <t>기록</t>
  </si>
  <si>
    <t>실제 수행·공유일</t>
  </si>
  <si>
    <t>기록 내용</t>
  </si>
  <si>
    <t>근거 상태</t>
  </si>
  <si>
    <t>작업 번호·처리</t>
  </si>
  <si>
    <t>출처</t>
  </si>
  <si>
    <t>H01</t>
  </si>
  <si>
    <t>2026-10-16</t>
  </si>
  <si>
    <t>문서·게시 기록</t>
  </si>
  <si>
    <t>WBS-1.1. 프로젝트 시작일부터 실제 작업으로 포함.</t>
  </si>
  <si>
    <t>S01</t>
  </si>
  <si>
    <t>H02</t>
  </si>
  <si>
    <t>2026-10-17~18</t>
  </si>
  <si>
    <t>후보 MVP 제작·조사</t>
  </si>
  <si>
    <t>작성자 보고</t>
  </si>
  <si>
    <t>WBS-1.2. 개인별 사이버·법률·산재/AI-SRE·PUBG·원자재/보듬·LoL 조사/구현 보고를 포함. 교육 MVP 완료로 혼합하지 않음. 최성욱 원문 날짜 불일치는 확인 필요.</t>
  </si>
  <si>
    <t>S02</t>
  </si>
  <si>
    <t>H03</t>
  </si>
  <si>
    <t>2026-10-19</t>
  </si>
  <si>
    <t>주말 작업 아침 공유</t>
  </si>
  <si>
    <t>공유 기록</t>
  </si>
  <si>
    <t>WBS-1.2의 공유 기록. 실제 수행일은 10/17~18로 보존하고 별도의 중복 제작 작업으로 추가하지 않음.</t>
  </si>
  <si>
    <t>S03</t>
  </si>
  <si>
    <t>H04</t>
  </si>
  <si>
    <t>2026-10-20</t>
  </si>
  <si>
    <t>후보 비교·강사 검토</t>
  </si>
  <si>
    <t>기록·사용자 전달</t>
  </si>
  <si>
    <t>WBS-1.3. 후보 차별화·데이터·기간 내 구현 범위 검토에 반영.</t>
  </si>
  <si>
    <t>S04</t>
  </si>
  <si>
    <t>H05</t>
  </si>
  <si>
    <t>2026-10-21</t>
  </si>
  <si>
    <t>교육 MVP·멘토링·데이터 검토</t>
  </si>
  <si>
    <t>문서 확인·구현 보고</t>
  </si>
  <si>
    <t>WBS-1.4·1.5·1.6. 수업 8개·규칙 피드백·브라우저 기록 및 개념 설명 24항목 예비 대조표·수업 연결 후보를 구분.</t>
  </si>
  <si>
    <t>S05~S07</t>
  </si>
  <si>
    <t>H06</t>
  </si>
  <si>
    <t>2026-10-22</t>
  </si>
  <si>
    <t>교육 MVP 구현 보고</t>
  </si>
  <si>
    <t>WBS-1.4. 10/21 기존 MVP와 동일 코드·버전인지 및 실제 실행 범위는 미확인.</t>
  </si>
  <si>
    <t>S08</t>
  </si>
  <si>
    <t>H07</t>
  </si>
  <si>
    <t>2026-10-23</t>
  </si>
  <si>
    <t>기획·수집 데이터 제출 마감</t>
  </si>
  <si>
    <t>기한 확인·제출 미확인</t>
  </si>
  <si>
    <t>WBS-1.7 및 5.1~5.4. 초안 작성·제출 기한과 실제 제출 상태를 분리.</t>
  </si>
  <si>
    <t>S11·S12</t>
  </si>
  <si>
    <t>공식 산출물 제출 일정과 WBS 연결</t>
  </si>
  <si>
    <t>마감</t>
  </si>
  <si>
    <t>산출물 WBS</t>
  </si>
  <si>
    <t>선행 작성·구현 작업</t>
  </si>
  <si>
    <t>근거</t>
  </si>
  <si>
    <t>S12·S13</t>
  </si>
  <si>
    <t>WBS-5</t>
  </si>
  <si>
    <t>일정·요구사항 검토 필요 항목</t>
  </si>
  <si>
    <t>구분</t>
  </si>
  <si>
    <t>연결 작업</t>
  </si>
  <si>
    <t>쟁점</t>
  </si>
  <si>
    <t>상태</t>
  </si>
  <si>
    <t>처리 기준</t>
  </si>
  <si>
    <t>R01</t>
  </si>
  <si>
    <t>WBS-1.9·1.12</t>
  </si>
  <si>
    <t>암기·간격 복습·지표 확장</t>
  </si>
  <si>
    <t>검토 필요</t>
  </si>
  <si>
    <t>노션 기획안 v2의 확장 제안. 현재 151개 요구사항에 대한 확정 추가 구현으로 처리하지 않음.</t>
  </si>
  <si>
    <t>S09</t>
  </si>
  <si>
    <t>R02</t>
  </si>
  <si>
    <t>WBS-1.10·3.28·5.15</t>
  </si>
  <si>
    <t>자체 sLLM 필수·활성화 조건</t>
  </si>
  <si>
    <t>제출 요건 반영</t>
  </si>
  <si>
    <t>4번 주제는 안내상 자체 sLLM 필수. 학습·기본 모델 비교·산출물 제출은 11/20까지 계획하고 서비스 공개는 최종 평가 승인 후 적용. 기존 조건부 범위와의 차이를 명시.</t>
  </si>
  <si>
    <t>R03</t>
  </si>
  <si>
    <t>WBS-1.12·3.35·5.13</t>
  </si>
  <si>
    <t>검색 저장소 산출물</t>
  </si>
  <si>
    <t>VectorDB/GraphDB 결과서가 11/13 필수로 안내됨. 현재 서비스 요구사항과의 적합성을 검토해 실제 도입 범위나 대체 산출물 허용 여부를 멘토 확인. 제출 의무를 임의 면제하지 않음.</t>
  </si>
  <si>
    <t>R04</t>
  </si>
  <si>
    <t>WBS-1.6·2.4·2.5</t>
  </si>
  <si>
    <t>수업·공식 데이터·매핑</t>
  </si>
  <si>
    <t>확인 필요</t>
  </si>
  <si>
    <t>수업 8개·24항목 예비표는 보고된 출발점. 공식 매핑·원본 확보·이용 조건·전문가 검수는 별도 확인.</t>
  </si>
  <si>
    <t>S05·S07·S10</t>
  </si>
  <si>
    <t>R05</t>
  </si>
  <si>
    <t>WBS-3.32·4.1·4.11</t>
  </si>
  <si>
    <t>11/27 에이전트 보고서</t>
  </si>
  <si>
    <t>일정 조정</t>
  </si>
  <si>
    <t>전체 구현·설정·테스트 코드 마감 11/24, 최종 자동·독립 평가 11/25~26, 에이전트 통합 검증·보고서 11/27. 서비스 역할·거래·운영 검증은 11/30~12/04.</t>
  </si>
  <si>
    <t>S12</t>
  </si>
  <si>
    <t>R06</t>
  </si>
  <si>
    <t>WBS-5.10·5.19·5.21</t>
  </si>
  <si>
    <t>중간·최종 발표와 영상</t>
  </si>
  <si>
    <t>일정 추가</t>
  </si>
  <si>
    <t>11/06 중간발표, 12/08 최종발표·소스·영상·웹 제출. 확인되지 않은 평가 수치·배포·제출 완료는 자료에 확정 사실로 쓰지 않음.</t>
  </si>
  <si>
    <t>R07</t>
  </si>
  <si>
    <t>전 작업</t>
  </si>
  <si>
    <t>담당별 작업량·병렬 일정</t>
  </si>
  <si>
    <t>공식 제출 마감에 맞춘 일정안. 역할 배정은 유지하되 실제 가용시간·작업량은 미측정. 같은 날 선행 완료 후 후행 작업·제출을 순차 진행.</t>
  </si>
  <si>
    <t>사용자 배정·S12</t>
  </si>
  <si>
    <t>R08</t>
  </si>
  <si>
    <t>PM·APM</t>
  </si>
  <si>
    <t>주간 보고 표기 충돌</t>
  </si>
  <si>
    <t>주간 보고 작성 탭 본문은 매주 목요일 밤, 열 제목은 10/26부터 월요일 스탠드업으로 표기. 작성 마감과 회의일을 구분하고 템플릿의 09/03·타 팀 예시를 사고뭉치 실제 일정/성과로 사용하지 않음.</t>
  </si>
  <si>
    <t>S12 연결 탭</t>
  </si>
  <si>
    <t>근거 목록</t>
  </si>
  <si>
    <t>기준·기록일</t>
  </si>
  <si>
    <t>문서 제목</t>
  </si>
  <si>
    <t>원문 URL</t>
  </si>
  <si>
    <t>10/16</t>
  </si>
  <si>
    <t>🔎 최초 기획</t>
  </si>
  <si>
    <t>https://app.notion.com/p/3fe80f0d4a6f8181ad1cddb8f352dd76?pvs=204</t>
  </si>
  <si>
    <t>10/17~18</t>
  </si>
  <si>
    <t>🌤️ 준비주 주말 (10/17~10/18)</t>
  </si>
  <si>
    <t>https://app.notion.com/p/3fe80f0d4a6f81ae8cdafa14daaddc0c?pvs=204</t>
  </si>
  <si>
    <t>10/19</t>
  </si>
  <si>
    <t>☀️ 1주차 월요일 (10/19)</t>
  </si>
  <si>
    <t>https://app.notion.com/p/3fe80f0d4a6f8116bd44d5ebaf58e918?pvs=204</t>
  </si>
  <si>
    <t>10/20</t>
  </si>
  <si>
    <t>📝 1주차 화요일 (10/20)</t>
  </si>
  <si>
    <t>https://app.notion.com/p/3fe80f0d4a6f8199a076e694a83e7dfe?pvs=204</t>
  </si>
  <si>
    <t>S05</t>
  </si>
  <si>
    <t>10/21</t>
  </si>
  <si>
    <t>📝 1주차 수요일 (10/21)</t>
  </si>
  <si>
    <t>https://app.notion.com/p/3fe80f0d4a6f8160b3dfdd66abf5fcbe?pvs=204</t>
  </si>
  <si>
    <t>S06</t>
  </si>
  <si>
    <t>10/21 오프라인 멘토링</t>
  </si>
  <si>
    <t>https://app.notion.com/p/40080f0d4a6f8025b01cd31bbbb3d7e7?pvs=204</t>
  </si>
  <si>
    <t>S07</t>
  </si>
  <si>
    <t>📚 사고력·추론 중심 서술형 학습 — 사유</t>
  </si>
  <si>
    <t>https://app.notion.com/p/40080f0d4a6f81ac918ff3166453d8c7?pvs=204</t>
  </si>
  <si>
    <t>10/22</t>
  </si>
  <si>
    <t>📝 1주차 목요일 (10/22)</t>
  </si>
  <si>
    <t>https://app.notion.com/p/3fe80f0d4a6f819b95f4c1021391d043?pvs=204</t>
  </si>
  <si>
    <t>10/21(문서)</t>
  </si>
  <si>
    <t>기획안_v2</t>
  </si>
  <si>
    <t>https://app.notion.com/p/47f80f0d4a6f8381bb8481c35c5d8f2e?pvs=204</t>
  </si>
  <si>
    <t>S10</t>
  </si>
  <si>
    <t>10/21 이후</t>
  </si>
  <si>
    <t>사유의 설명 정확도·루브릭·유사 서비스 검증</t>
  </si>
  <si>
    <t>https://app.notion.com/p/40180f0d4a6f81b78a09d6bd76406b7c?pvs=204</t>
  </si>
  <si>
    <t>S11</t>
  </si>
  <si>
    <t>10/23(기한)</t>
  </si>
  <si>
    <t>기획서·WBS 초안 제출 준비</t>
  </si>
  <si>
    <t>https://app.notion.com/p/40180f0d4a6f81d89012e3a6cdae820e?pvs=204</t>
  </si>
  <si>
    <t>2026-10-23 확인</t>
  </si>
  <si>
    <t>공식 전체 일정 대시보드</t>
  </si>
  <si>
    <t>https://docs.google.com/spreadsheets/d/1j6USD3-YJh1jjzNqFyqqzrwN3-V5ElYRuUjmb07YJr4/edit?gid=347453426#gid=347453426</t>
  </si>
  <si>
    <t>S13</t>
  </si>
  <si>
    <t>공식 산출물 안내★·3팀 제출 목록</t>
  </si>
  <si>
    <t>https://docs.google.com/spreadsheets/d/1j6USD3-YJh1jjzNqFyqqzrwN3-V5ElYRuUjmb07YJr4/edit#gid=1957301521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</si>
</sst>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0&quot;일&quot;"/>
    <numFmt numFmtId="166" formatCode="d"/>
    <numFmt numFmtId="167" formatCode="mm/dd"/>
  </numFmts>
  <fonts count="15">
    <font>
      <sz val="10.0"/>
      <color rgb="FF000000"/>
      <name val="Arial"/>
      <scheme val="minor"/>
    </font>
    <font>
      <sz val="10.0"/>
      <color rgb="FF222222"/>
      <name val="Arial"/>
    </font>
    <font>
      <b/>
      <sz val="15.0"/>
      <color rgb="FF0B5394"/>
      <name val="Arial"/>
    </font>
    <font>
      <sz val="9.0"/>
      <color rgb="FF555555"/>
      <name val="Arial"/>
    </font>
    <font>
      <b/>
      <sz val="10.0"/>
      <color rgb="FFFFFFFF"/>
      <name val="Arial"/>
    </font>
    <font>
      <b/>
      <sz val="18.0"/>
      <color rgb="FF0B5394"/>
      <name val="Arial"/>
    </font>
    <font>
      <sz val="10.0"/>
      <color rgb="FF0B5394"/>
      <name val="Arial"/>
    </font>
    <font>
      <b/>
      <sz val="8.0"/>
      <color rgb="FF222222"/>
      <name val="Arial"/>
    </font>
    <font/>
    <font>
      <b/>
      <sz val="10.0"/>
      <color rgb="FF222222"/>
      <name val="Arial"/>
    </font>
    <font>
      <sz val="9.0"/>
      <color rgb="FF222222"/>
      <name val="Arial"/>
    </font>
    <font>
      <b/>
      <sz val="12.0"/>
      <color rgb="FF0B5394"/>
      <name val="Arial"/>
    </font>
    <font>
      <sz val="9.0"/>
      <color rgb="FF7F6000"/>
      <name val="Arial"/>
    </font>
    <font>
      <color rgb="FF000000"/>
      <name val="Arial"/>
    </font>
    <font>
      <sz val="10.0"/>
      <color rgb="FF0563C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EEF4F8"/>
        <bgColor rgb="FFEEF4F8"/>
      </patternFill>
    </fill>
    <fill>
      <patternFill patternType="solid">
        <fgColor rgb="FFE7EDF3"/>
        <bgColor rgb="FFE7EDF3"/>
      </patternFill>
    </fill>
    <fill>
      <patternFill patternType="solid">
        <fgColor rgb="FFD9D9D9"/>
        <bgColor rgb="FFD9D9D9"/>
      </patternFill>
    </fill>
    <fill>
      <patternFill patternType="solid">
        <fgColor rgb="FFDDE3E8"/>
        <bgColor rgb="FFDDE3E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BAC4CE"/>
      </left>
      <top style="thin">
        <color rgb="FFBAC4CE"/>
      </top>
      <bottom style="thin">
        <color rgb="FFBAC4CE"/>
      </bottom>
    </border>
    <border>
      <top style="thin">
        <color rgb="FFBAC4CE"/>
      </top>
      <bottom style="thin">
        <color rgb="FFBAC4CE"/>
      </bottom>
    </border>
    <border>
      <right style="thin">
        <color rgb="FFBAC4CE"/>
      </right>
      <top style="thin">
        <color rgb="FFBAC4CE"/>
      </top>
      <bottom style="thin">
        <color rgb="FFBAC4CE"/>
      </bottom>
    </border>
    <border>
      <left style="thin">
        <color rgb="FFBAC4CE"/>
      </left>
      <right style="thin">
        <color rgb="FFBAC4CE"/>
      </right>
      <top style="thin">
        <color rgb="FFBAC4CE"/>
      </top>
      <bottom style="thin">
        <color rgb="FFBAC4CE"/>
      </bottom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</border>
    <border>
      <left style="thin">
        <color rgb="FFD0D7DE"/>
      </left>
      <top style="thin">
        <color rgb="FFD0D7DE"/>
      </top>
      <bottom style="thin">
        <color rgb="FFD0D7DE"/>
      </bottom>
    </border>
    <border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horizontal="right" shrinkToFit="0" vertical="center" wrapText="0"/>
    </xf>
    <xf borderId="0" fillId="0" fontId="1" numFmtId="165" xfId="0" applyAlignment="1" applyFont="1" applyNumberFormat="1">
      <alignment horizontal="right" shrinkToFit="0" vertical="center" wrapText="0"/>
    </xf>
    <xf borderId="0" fillId="0" fontId="3" numFmtId="0" xfId="0" applyAlignment="1" applyFont="1">
      <alignment shrinkToFit="0" vertical="center" wrapText="1"/>
    </xf>
    <xf borderId="0" fillId="2" fontId="4" numFmtId="0" xfId="0" applyAlignment="1" applyFill="1" applyFont="1">
      <alignment shrinkToFit="0" vertical="center" wrapText="0"/>
    </xf>
    <xf borderId="0" fillId="2" fontId="4" numFmtId="0" xfId="0" applyAlignment="1" applyFill="1" applyFont="1">
      <alignment horizontal="center" shrinkToFit="0" vertical="center" wrapText="0"/>
    </xf>
    <xf borderId="0" fillId="3" fontId="4" numFmtId="0" xfId="0" applyAlignment="1" applyFill="1" applyFont="1">
      <alignment horizontal="center" shrinkToFit="0" vertical="center" wrapText="0"/>
    </xf>
    <xf borderId="0" fillId="4" fontId="4" numFmtId="0" xfId="0" applyAlignment="1" applyFill="1" applyFont="1">
      <alignment horizontal="center" shrinkToFit="0" vertical="center" wrapText="0"/>
    </xf>
    <xf borderId="0" fillId="5" fontId="4" numFmtId="0" xfId="0" applyAlignment="1" applyFill="1" applyFont="1">
      <alignment horizontal="center" shrinkToFit="0" vertical="center" wrapText="0"/>
    </xf>
    <xf borderId="0" fillId="6" fontId="3" numFmtId="0" xfId="0" applyAlignment="1" applyFill="1" applyFont="1">
      <alignment shrinkToFit="0" vertical="center" wrapText="0"/>
    </xf>
    <xf borderId="2" fillId="6" fontId="7" numFmtId="0" xfId="0" applyAlignment="1" applyBorder="1" applyFill="1" applyFont="1">
      <alignment horizontal="center" shrinkToFit="0" vertical="center" wrapText="1"/>
    </xf>
    <xf borderId="3" fillId="0" fontId="8" numFmtId="0" xfId="0" applyBorder="1" applyFont="1"/>
    <xf borderId="4" fillId="0" fontId="8" numFmtId="0" xfId="0" applyBorder="1" applyFont="1"/>
    <xf borderId="5" fillId="7" fontId="9" numFmtId="0" xfId="0" applyAlignment="1" applyBorder="1" applyFill="1" applyFont="1">
      <alignment horizontal="center" shrinkToFit="0" vertical="center" wrapText="1"/>
    </xf>
    <xf borderId="6" fillId="6" fontId="10" numFmtId="166" xfId="0" applyAlignment="1" applyBorder="1" applyFill="1" applyFont="1" applyNumberFormat="1">
      <alignment horizontal="center" shrinkToFit="0" vertical="center" wrapText="0"/>
    </xf>
    <xf borderId="6" fillId="8" fontId="10" numFmtId="166" xfId="0" applyAlignment="1" applyBorder="1" applyFill="1" applyFont="1" applyNumberFormat="1">
      <alignment horizontal="center" shrinkToFit="0" vertical="center" wrapText="0"/>
    </xf>
    <xf borderId="1" fillId="9" fontId="9" numFmtId="49" xfId="0" applyAlignment="1" applyBorder="1" applyFill="1" applyFont="1" applyNumberFormat="1">
      <alignment horizontal="center" shrinkToFit="0" vertical="center" wrapText="1"/>
    </xf>
    <xf borderId="1" fillId="9" fontId="9" numFmtId="0" xfId="0" applyAlignment="1" applyBorder="1" applyFill="1" applyFont="1">
      <alignment shrinkToFit="0" vertical="center" wrapText="1"/>
    </xf>
    <xf borderId="1" fillId="9" fontId="9" numFmtId="0" xfId="0" applyAlignment="1" applyBorder="1" applyFill="1" applyFont="1">
      <alignment horizontal="center" shrinkToFit="0" vertical="center" wrapText="1"/>
    </xf>
    <xf borderId="1" fillId="9" fontId="9" numFmtId="167" xfId="0" applyAlignment="1" applyBorder="1" applyFill="1" applyFont="1" applyNumberFormat="1">
      <alignment horizontal="center" shrinkToFit="0" vertical="center" wrapText="1"/>
    </xf>
    <xf borderId="1" fillId="9" fontId="9" numFmtId="1" xfId="0" applyAlignment="1" applyBorder="1" applyFill="1" applyFont="1" applyNumberFormat="1">
      <alignment horizontal="center" shrinkToFit="0" vertical="center" wrapText="1"/>
    </xf>
    <xf borderId="1" fillId="9" fontId="9" numFmtId="9" xfId="0" applyAlignment="1" applyBorder="1" applyFill="1" applyFont="1" applyNumberFormat="1">
      <alignment horizontal="center" shrinkToFit="0" vertical="center" wrapText="1"/>
    </xf>
    <xf borderId="1" fillId="9" fontId="1" numFmtId="0" xfId="0" applyBorder="1" applyFill="1" applyFont="1"/>
    <xf borderId="1" fillId="10" fontId="1" numFmtId="49" xfId="0" applyAlignment="1" applyBorder="1" applyFill="1" applyFont="1" applyNumberFormat="1">
      <alignment horizontal="center" shrinkToFit="0" vertical="center" wrapText="1"/>
    </xf>
    <xf borderId="1" fillId="10" fontId="1" numFmtId="0" xfId="0" applyAlignment="1" applyBorder="1" applyFill="1" applyFont="1">
      <alignment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1" fillId="11" fontId="1" numFmtId="167" xfId="0" applyAlignment="1" applyBorder="1" applyFill="1" applyFont="1" applyNumberFormat="1">
      <alignment horizontal="center" shrinkToFit="0" vertical="center" wrapText="1"/>
    </xf>
    <xf borderId="1" fillId="11" fontId="1" numFmtId="167" xfId="0" applyAlignment="1" applyBorder="1" applyFill="1" applyFont="1" applyNumberFormat="1">
      <alignment horizontal="center" readingOrder="0" shrinkToFit="0" vertical="center" wrapText="1"/>
    </xf>
    <xf borderId="1" fillId="10" fontId="1" numFmtId="1" xfId="0" applyAlignment="1" applyBorder="1" applyFill="1" applyFont="1" applyNumberFormat="1">
      <alignment horizontal="center" shrinkToFit="0" vertical="center" wrapText="1"/>
    </xf>
    <xf borderId="1" fillId="10" fontId="1" numFmtId="0" xfId="0" applyBorder="1" applyFill="1" applyFont="1"/>
    <xf borderId="0" fillId="0" fontId="11" numFmtId="0" xfId="0" applyAlignment="1" applyFont="1">
      <alignment shrinkToFit="0" vertical="bottom" wrapText="0"/>
    </xf>
    <xf borderId="0" fillId="2" fontId="4" numFmtId="0" xfId="0" applyAlignment="1" applyFill="1" applyFont="1">
      <alignment horizontal="center" shrinkToFit="0" vertical="bottom" wrapText="0"/>
    </xf>
    <xf borderId="7" fillId="0" fontId="1" numFmtId="0" xfId="0" applyAlignment="1" applyBorder="1" applyFont="1">
      <alignment shrinkToFit="0" vertical="center" wrapText="1"/>
    </xf>
    <xf borderId="8" fillId="0" fontId="8" numFmtId="0" xfId="0" applyBorder="1" applyFont="1"/>
    <xf borderId="9" fillId="0" fontId="8" numFmtId="0" xfId="0" applyBorder="1" applyFont="1"/>
    <xf borderId="0" fillId="0" fontId="12" numFmtId="0" xfId="0" applyAlignment="1" applyFont="1">
      <alignment shrinkToFit="0" vertical="bottom" wrapText="0"/>
    </xf>
    <xf borderId="0" fillId="0" fontId="11" numFmtId="0" xfId="0" applyAlignment="1" applyFont="1">
      <alignment shrinkToFit="0" vertical="center" wrapText="0"/>
    </xf>
    <xf borderId="0" fillId="2" fontId="4" numFmtId="0" xfId="0" applyAlignment="1" applyFill="1" applyFont="1">
      <alignment horizontal="center" shrinkToFit="0" vertical="center" wrapText="1"/>
    </xf>
    <xf borderId="0" fillId="0" fontId="13" numFmtId="0" xfId="0" applyAlignment="1" applyFont="1">
      <alignment shrinkToFit="0" vertical="bottom" wrapText="0"/>
    </xf>
    <xf borderId="1" fillId="0" fontId="1" numFmtId="167" xfId="0" applyAlignment="1" applyBorder="1" applyFont="1" applyNumberFormat="1">
      <alignment shrinkToFit="0" vertical="center" wrapText="1"/>
    </xf>
    <xf borderId="7" fillId="0" fontId="14" numFmtId="0" xfId="0" applyAlignment="1" applyBorder="1" applyFont="1">
      <alignment shrinkToFit="0" vertical="center" wrapText="1"/>
    </xf>
  </cellXfs>
  <cellStyles count="1">
    <cellStyle xfId="0" name="Normal" builtinId="0"/>
  </cellStyles>
  <dxfs count="9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CEFF1"/>
          <bgColor rgb="FFECEFF1"/>
        </patternFill>
      </fill>
      <border/>
    </dxf>
    <dxf>
      <font/>
      <fill>
        <patternFill patternType="solid">
          <fgColor rgb="FF5B9BD5"/>
          <bgColor rgb="FF5B9BD5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9C0006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10.0" topLeftCell="E11" activePane="bottomRight" state="frozen"/>
      <selection activeCell="E1" sqref="E1" pane="topRight"/>
      <selection activeCell="A11" sqref="A11" pane="bottomLeft"/>
      <selection activeCell="E11" sqref="E11" pane="bottomRight"/>
    </sheetView>
  </sheetViews>
  <sheetFormatPr customHeight="1" defaultColWidth="12.63" defaultRowHeight="15.0"/>
  <cols>
    <col customWidth="1" min="1" max="1" width="2.5"/>
    <col customWidth="1" min="2" max="2" width="11.25"/>
    <col customWidth="1" min="3" max="3" width="37.5"/>
    <col customWidth="1" min="4" max="4" width="10.63"/>
    <col customWidth="1" min="5" max="6" width="11.25"/>
    <col customWidth="1" min="7" max="7" width="8.13"/>
    <col customWidth="1" min="8" max="8" width="10.63"/>
    <col customWidth="1" min="9" max="48" width="2.75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34.5" customHeight="1">
      <c r="A2" s="1"/>
      <c r="B2" s="8" t="s">
        <v>18</v>
      </c>
      <c r="H2" s="1"/>
      <c r="I2" s="9" t="s">
        <v>19</v>
      </c>
    </row>
    <row r="3" ht="9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1.0" customHeight="1">
      <c r="A4" s="1"/>
      <c r="B4" s="10" t="s">
        <v>20</v>
      </c>
      <c r="D4" s="10" t="s">
        <v>21</v>
      </c>
      <c r="H4" s="10"/>
      <c r="I4" s="10" t="s">
        <v>22</v>
      </c>
      <c r="P4" s="11">
        <v>46311.0</v>
      </c>
      <c r="W4" s="10"/>
      <c r="X4" s="10" t="s">
        <v>30</v>
      </c>
      <c r="AE4" s="11">
        <v>46364.0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ht="21.0" customHeight="1">
      <c r="A5" s="1"/>
      <c r="B5" s="10" t="s">
        <v>31</v>
      </c>
      <c r="D5" s="10" t="s">
        <v>52</v>
      </c>
      <c r="H5" s="10"/>
      <c r="I5" s="10" t="s">
        <v>53</v>
      </c>
      <c r="P5" s="11">
        <v>46318.0</v>
      </c>
      <c r="W5" s="10"/>
      <c r="X5" s="10" t="s">
        <v>54</v>
      </c>
      <c r="AE5" s="12">
        <f>COUNTIFS(I10:AV10,"&gt;="&amp;P4,I10:AV10,"&lt;="&amp;AE4)</f>
        <v>40</v>
      </c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ht="24.0" customHeight="1">
      <c r="A6" s="1"/>
      <c r="B6" s="13" t="s">
        <v>67</v>
      </c>
      <c r="I6" s="13" t="s">
        <v>68</v>
      </c>
    </row>
    <row r="7" ht="7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18.75" customHeight="1">
      <c r="A8" s="1"/>
      <c r="B8" s="14" t="s">
        <v>75</v>
      </c>
      <c r="I8" s="15" t="s">
        <v>76</v>
      </c>
      <c r="V8" s="16" t="s">
        <v>77</v>
      </c>
      <c r="AF8" s="17" t="s">
        <v>79</v>
      </c>
      <c r="AP8" s="18" t="s">
        <v>83</v>
      </c>
    </row>
    <row r="9" ht="27.0" customHeight="1">
      <c r="A9" s="1"/>
      <c r="B9" s="19" t="s">
        <v>84</v>
      </c>
      <c r="I9" s="20" t="str">
        <f>"1주 "&amp;TEXT(I10,"m/d")&amp;"~"&amp;TEXT(P10,"m/d")</f>
        <v>1주 10/16~10/23</v>
      </c>
      <c r="J9" s="21"/>
      <c r="K9" s="21"/>
      <c r="L9" s="21"/>
      <c r="M9" s="21"/>
      <c r="N9" s="21"/>
      <c r="O9" s="21"/>
      <c r="P9" s="22"/>
      <c r="Q9" s="20" t="str">
        <f>"2주 "&amp;TEXT(Q10,"m/d")&amp;"~"&amp;TEXT(U10,"m/d")</f>
        <v>2주 10/26~10/30</v>
      </c>
      <c r="R9" s="21"/>
      <c r="S9" s="21"/>
      <c r="T9" s="21"/>
      <c r="U9" s="22"/>
      <c r="V9" s="20" t="str">
        <f>"3주 "&amp;TEXT(V10,"m/d")&amp;"~"&amp;TEXT(Z10,"m/d")</f>
        <v>3주 11/2~11/6</v>
      </c>
      <c r="W9" s="21"/>
      <c r="X9" s="21"/>
      <c r="Y9" s="21"/>
      <c r="Z9" s="22"/>
      <c r="AA9" s="20" t="str">
        <f>"4주 "&amp;TEXT(AA10,"m/d")&amp;"~"&amp;TEXT(AE10,"m/d")</f>
        <v>4주 11/9~11/13</v>
      </c>
      <c r="AB9" s="21"/>
      <c r="AC9" s="21"/>
      <c r="AD9" s="21"/>
      <c r="AE9" s="22"/>
      <c r="AF9" s="20" t="str">
        <f>"5주 "&amp;TEXT(AF10,"m/d")&amp;"~"&amp;TEXT(AJ10,"m/d")</f>
        <v>5주 11/16~11/20</v>
      </c>
      <c r="AG9" s="21"/>
      <c r="AH9" s="21"/>
      <c r="AI9" s="21"/>
      <c r="AJ9" s="22"/>
      <c r="AK9" s="20" t="str">
        <f>"6주 "&amp;TEXT(AK10,"m/d")&amp;"~"&amp;TEXT(AO10,"m/d")</f>
        <v>6주 11/23~11/27</v>
      </c>
      <c r="AL9" s="21"/>
      <c r="AM9" s="21"/>
      <c r="AN9" s="21"/>
      <c r="AO9" s="22"/>
      <c r="AP9" s="20" t="str">
        <f>"7주 "&amp;TEXT(AP10,"m/d")&amp;"~"&amp;TEXT(AT10,"m/d")</f>
        <v>7주 11/30~12/4</v>
      </c>
      <c r="AQ9" s="21"/>
      <c r="AR9" s="21"/>
      <c r="AS9" s="21"/>
      <c r="AT9" s="22"/>
      <c r="AU9" s="20" t="str">
        <f>"8주"&amp;CHAR(10)&amp;TEXT(AU10,"m/d")&amp;"~"&amp;TEXT(AV10,"d")</f>
        <v>8주
12/7~8</v>
      </c>
      <c r="AV9" s="22"/>
    </row>
    <row r="10" ht="25.5" customHeight="1">
      <c r="A10" s="1"/>
      <c r="B10" s="23" t="s">
        <v>6</v>
      </c>
      <c r="C10" s="23" t="s">
        <v>8</v>
      </c>
      <c r="D10" s="23" t="s">
        <v>145</v>
      </c>
      <c r="E10" s="23" t="s">
        <v>146</v>
      </c>
      <c r="F10" s="23" t="s">
        <v>147</v>
      </c>
      <c r="G10" s="23" t="s">
        <v>148</v>
      </c>
      <c r="H10" s="23" t="s">
        <v>149</v>
      </c>
      <c r="I10" s="24">
        <f>$P$4</f>
        <v>46311</v>
      </c>
      <c r="J10" s="24">
        <f t="shared" ref="J10:P10" si="1">I10+1</f>
        <v>46312</v>
      </c>
      <c r="K10" s="24">
        <f t="shared" si="1"/>
        <v>46313</v>
      </c>
      <c r="L10" s="24">
        <f t="shared" si="1"/>
        <v>46314</v>
      </c>
      <c r="M10" s="24">
        <f t="shared" si="1"/>
        <v>46315</v>
      </c>
      <c r="N10" s="24">
        <f t="shared" si="1"/>
        <v>46316</v>
      </c>
      <c r="O10" s="24">
        <f t="shared" si="1"/>
        <v>46317</v>
      </c>
      <c r="P10" s="24">
        <f t="shared" si="1"/>
        <v>46318</v>
      </c>
      <c r="Q10" s="24">
        <f t="shared" ref="Q10:AV10" si="2">WORKDAY(P10,1)</f>
        <v>46321</v>
      </c>
      <c r="R10" s="24">
        <f t="shared" si="2"/>
        <v>46322</v>
      </c>
      <c r="S10" s="24">
        <f t="shared" si="2"/>
        <v>46323</v>
      </c>
      <c r="T10" s="24">
        <f t="shared" si="2"/>
        <v>46324</v>
      </c>
      <c r="U10" s="24">
        <f t="shared" si="2"/>
        <v>46325</v>
      </c>
      <c r="V10" s="24">
        <f t="shared" si="2"/>
        <v>46328</v>
      </c>
      <c r="W10" s="24">
        <f t="shared" si="2"/>
        <v>46329</v>
      </c>
      <c r="X10" s="24">
        <f t="shared" si="2"/>
        <v>46330</v>
      </c>
      <c r="Y10" s="24">
        <f t="shared" si="2"/>
        <v>46331</v>
      </c>
      <c r="Z10" s="24">
        <f t="shared" si="2"/>
        <v>46332</v>
      </c>
      <c r="AA10" s="24">
        <f t="shared" si="2"/>
        <v>46335</v>
      </c>
      <c r="AB10" s="24">
        <f t="shared" si="2"/>
        <v>46336</v>
      </c>
      <c r="AC10" s="24">
        <f t="shared" si="2"/>
        <v>46337</v>
      </c>
      <c r="AD10" s="24">
        <f t="shared" si="2"/>
        <v>46338</v>
      </c>
      <c r="AE10" s="24">
        <f t="shared" si="2"/>
        <v>46339</v>
      </c>
      <c r="AF10" s="24">
        <f t="shared" si="2"/>
        <v>46342</v>
      </c>
      <c r="AG10" s="24">
        <f t="shared" si="2"/>
        <v>46343</v>
      </c>
      <c r="AH10" s="24">
        <f t="shared" si="2"/>
        <v>46344</v>
      </c>
      <c r="AI10" s="24">
        <f t="shared" si="2"/>
        <v>46345</v>
      </c>
      <c r="AJ10" s="24">
        <f t="shared" si="2"/>
        <v>46346</v>
      </c>
      <c r="AK10" s="24">
        <f t="shared" si="2"/>
        <v>46349</v>
      </c>
      <c r="AL10" s="24">
        <f t="shared" si="2"/>
        <v>46350</v>
      </c>
      <c r="AM10" s="24">
        <f t="shared" si="2"/>
        <v>46351</v>
      </c>
      <c r="AN10" s="24">
        <f t="shared" si="2"/>
        <v>46352</v>
      </c>
      <c r="AO10" s="24">
        <f t="shared" si="2"/>
        <v>46353</v>
      </c>
      <c r="AP10" s="24">
        <f t="shared" si="2"/>
        <v>46356</v>
      </c>
      <c r="AQ10" s="24">
        <f t="shared" si="2"/>
        <v>46357</v>
      </c>
      <c r="AR10" s="24">
        <f t="shared" si="2"/>
        <v>46358</v>
      </c>
      <c r="AS10" s="24">
        <f t="shared" si="2"/>
        <v>46359</v>
      </c>
      <c r="AT10" s="25">
        <f t="shared" si="2"/>
        <v>46360</v>
      </c>
      <c r="AU10" s="25">
        <f t="shared" si="2"/>
        <v>46363</v>
      </c>
      <c r="AV10" s="25">
        <f t="shared" si="2"/>
        <v>46364</v>
      </c>
    </row>
    <row r="11" ht="24.0" customHeight="1">
      <c r="A11" s="1"/>
      <c r="B11" s="26" t="s">
        <v>195</v>
      </c>
      <c r="C11" s="27" t="s">
        <v>16</v>
      </c>
      <c r="D11" s="28" t="s">
        <v>52</v>
      </c>
      <c r="E11" s="29">
        <f>MIN(E12:E23)</f>
        <v>46311</v>
      </c>
      <c r="F11" s="29">
        <f>MAX(F12:F23)</f>
        <v>46322</v>
      </c>
      <c r="G11" s="30">
        <f>COUNTIFS($I$10:$AV$10,"&gt;="&amp;E11,$I$10:$AV$10,"&lt;="&amp;F11)</f>
        <v>10</v>
      </c>
      <c r="H11" s="31">
        <f t="shared" ref="H11:H104" si="3">IFERROR(MAX(0,MIN(1,(TODAY()-E11)/(F11-E11))),0)</f>
        <v>0.6363636364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</row>
    <row r="12" ht="33.0" customHeight="1">
      <c r="A12" s="1"/>
      <c r="B12" s="33" t="s">
        <v>15</v>
      </c>
      <c r="C12" s="34" t="str">
        <f>'작업 상세'!C8</f>
        <v>초기 주제 발굴·기획안 작성</v>
      </c>
      <c r="D12" s="35" t="s">
        <v>52</v>
      </c>
      <c r="E12" s="36">
        <v>46311.0</v>
      </c>
      <c r="F12" s="37">
        <v>46318.0</v>
      </c>
      <c r="G12" s="38">
        <f t="shared" ref="G12:G23" si="4">IF(OR(E12="",F12=""),"",IF(F12&lt;E12,"기간 확인",COUNTIFS($I$10:$AV$10,"&gt;="&amp;E12,$I$10:$AV$10,"&lt;="&amp;F12)))</f>
        <v>8</v>
      </c>
      <c r="H12" s="31">
        <f t="shared" si="3"/>
        <v>1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</row>
    <row r="13" ht="33.0" customHeight="1">
      <c r="A13" s="1"/>
      <c r="B13" s="33" t="s">
        <v>28</v>
      </c>
      <c r="C13" s="34" t="str">
        <f>'작업 상세'!C9</f>
        <v>후보 MVP 제작·데이터·경쟁 조사</v>
      </c>
      <c r="D13" s="35" t="s">
        <v>52</v>
      </c>
      <c r="E13" s="36">
        <v>46312.0</v>
      </c>
      <c r="F13" s="36">
        <v>46313.0</v>
      </c>
      <c r="G13" s="38">
        <f t="shared" si="4"/>
        <v>2</v>
      </c>
      <c r="H13" s="31">
        <f t="shared" si="3"/>
        <v>1</v>
      </c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</row>
    <row r="14" ht="33.0" customHeight="1">
      <c r="A14" s="1"/>
      <c r="B14" s="33" t="s">
        <v>35</v>
      </c>
      <c r="C14" s="34" t="str">
        <f>'작업 상세'!C10</f>
        <v>후보 비교·교육 서비스 차별화 검토</v>
      </c>
      <c r="D14" s="35" t="s">
        <v>52</v>
      </c>
      <c r="E14" s="36">
        <v>46314.0</v>
      </c>
      <c r="F14" s="36">
        <v>46318.0</v>
      </c>
      <c r="G14" s="38">
        <f t="shared" si="4"/>
        <v>5</v>
      </c>
      <c r="H14" s="31">
        <f t="shared" si="3"/>
        <v>1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</row>
    <row r="15" ht="33.0" customHeight="1">
      <c r="A15" s="1"/>
      <c r="B15" s="33" t="s">
        <v>40</v>
      </c>
      <c r="C15" s="34" t="str">
        <f>'작업 상세'!C11</f>
        <v>교육 MVP·기존 산출물 현황 정리</v>
      </c>
      <c r="D15" s="35" t="s">
        <v>52</v>
      </c>
      <c r="E15" s="36">
        <v>46316.0</v>
      </c>
      <c r="F15" s="36">
        <v>46317.0</v>
      </c>
      <c r="G15" s="38">
        <f t="shared" si="4"/>
        <v>2</v>
      </c>
      <c r="H15" s="31">
        <f t="shared" si="3"/>
        <v>1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</row>
    <row r="16" ht="33.0" customHeight="1">
      <c r="A16" s="1"/>
      <c r="B16" s="33" t="s">
        <v>45</v>
      </c>
      <c r="C16" s="34" t="str">
        <f>'작업 상세'!C12</f>
        <v>멘토링 피드백·후속 과제 정리</v>
      </c>
      <c r="D16" s="35" t="s">
        <v>52</v>
      </c>
      <c r="E16" s="36">
        <v>46316.0</v>
      </c>
      <c r="F16" s="36">
        <v>46316.0</v>
      </c>
      <c r="G16" s="38">
        <f t="shared" si="4"/>
        <v>1</v>
      </c>
      <c r="H16" s="31">
        <f t="shared" si="3"/>
        <v>0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</row>
    <row r="17" ht="33.0" customHeight="1">
      <c r="A17" s="1"/>
      <c r="B17" s="33" t="s">
        <v>50</v>
      </c>
      <c r="C17" s="34" t="str">
        <f>'작업 상세'!C13</f>
        <v>교육 데이터·성취기준 확보 검토</v>
      </c>
      <c r="D17" s="35" t="s">
        <v>288</v>
      </c>
      <c r="E17" s="36">
        <v>46316.0</v>
      </c>
      <c r="F17" s="36">
        <v>46318.0</v>
      </c>
      <c r="G17" s="38">
        <f t="shared" si="4"/>
        <v>3</v>
      </c>
      <c r="H17" s="31">
        <f t="shared" si="3"/>
        <v>1</v>
      </c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</row>
    <row r="18" ht="33.0" customHeight="1">
      <c r="A18" s="1"/>
      <c r="B18" s="33" t="s">
        <v>58</v>
      </c>
      <c r="C18" s="34" t="str">
        <f>'작업 상세'!C14</f>
        <v>기획서·요구사항·WBS 초안 정리</v>
      </c>
      <c r="D18" s="35" t="s">
        <v>52</v>
      </c>
      <c r="E18" s="36">
        <v>46318.0</v>
      </c>
      <c r="F18" s="36">
        <v>46318.0</v>
      </c>
      <c r="G18" s="38">
        <f t="shared" si="4"/>
        <v>1</v>
      </c>
      <c r="H18" s="31">
        <f t="shared" si="3"/>
        <v>0</v>
      </c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</row>
    <row r="19" ht="33.0" customHeight="1">
      <c r="A19" s="1"/>
      <c r="B19" s="33" t="s">
        <v>65</v>
      </c>
      <c r="C19" s="34" t="str">
        <f>'작업 상세'!C15</f>
        <v>계정·자녀·기록 정책 결정</v>
      </c>
      <c r="D19" s="35" t="s">
        <v>303</v>
      </c>
      <c r="E19" s="36">
        <v>46321.0</v>
      </c>
      <c r="F19" s="36">
        <v>46322.0</v>
      </c>
      <c r="G19" s="38">
        <f t="shared" si="4"/>
        <v>2</v>
      </c>
      <c r="H19" s="31">
        <f t="shared" si="3"/>
        <v>0</v>
      </c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</row>
    <row r="20" ht="33.0" customHeight="1">
      <c r="A20" s="1"/>
      <c r="B20" s="33" t="s">
        <v>73</v>
      </c>
      <c r="C20" s="34" t="str">
        <f>'작업 상세'!C16</f>
        <v>학습·판정·집계와 확장 정책 결정</v>
      </c>
      <c r="D20" s="35" t="s">
        <v>311</v>
      </c>
      <c r="E20" s="36">
        <v>46321.0</v>
      </c>
      <c r="F20" s="36">
        <v>46322.0</v>
      </c>
      <c r="G20" s="38">
        <f t="shared" si="4"/>
        <v>2</v>
      </c>
      <c r="H20" s="31">
        <f t="shared" si="3"/>
        <v>0</v>
      </c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</row>
    <row r="21" ht="33.0" customHeight="1">
      <c r="A21" s="1"/>
      <c r="B21" s="33" t="s">
        <v>85</v>
      </c>
      <c r="C21" s="34" t="str">
        <f>'작업 상세'!C17</f>
        <v>모델·평가 범위 결정</v>
      </c>
      <c r="D21" s="35" t="s">
        <v>314</v>
      </c>
      <c r="E21" s="36">
        <v>46321.0</v>
      </c>
      <c r="F21" s="36">
        <v>46322.0</v>
      </c>
      <c r="G21" s="38">
        <f t="shared" si="4"/>
        <v>2</v>
      </c>
      <c r="H21" s="31">
        <f t="shared" si="3"/>
        <v>0</v>
      </c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</row>
    <row r="22" ht="33.0" customHeight="1">
      <c r="A22" s="1"/>
      <c r="B22" s="33" t="s">
        <v>92</v>
      </c>
      <c r="C22" s="34" t="str">
        <f>'작업 상세'!C18</f>
        <v>운영·리포트·결제 정책 결정</v>
      </c>
      <c r="D22" s="35" t="s">
        <v>52</v>
      </c>
      <c r="E22" s="36">
        <v>46321.0</v>
      </c>
      <c r="F22" s="36">
        <v>46322.0</v>
      </c>
      <c r="G22" s="38">
        <f t="shared" si="4"/>
        <v>2</v>
      </c>
      <c r="H22" s="31">
        <f t="shared" si="3"/>
        <v>0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</row>
    <row r="23" ht="33.0" customHeight="1">
      <c r="A23" s="1"/>
      <c r="B23" s="33" t="s">
        <v>98</v>
      </c>
      <c r="C23" s="34" t="str">
        <f>'작업 상세'!C19</f>
        <v>범위·우선순위·일정 검토</v>
      </c>
      <c r="D23" s="35" t="s">
        <v>52</v>
      </c>
      <c r="E23" s="36">
        <v>46322.0</v>
      </c>
      <c r="F23" s="36">
        <v>46322.0</v>
      </c>
      <c r="G23" s="38">
        <f t="shared" si="4"/>
        <v>1</v>
      </c>
      <c r="H23" s="31">
        <f t="shared" si="3"/>
        <v>0</v>
      </c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</row>
    <row r="24" ht="24.0" customHeight="1">
      <c r="A24" s="1"/>
      <c r="B24" s="26" t="s">
        <v>334</v>
      </c>
      <c r="C24" s="27" t="s">
        <v>105</v>
      </c>
      <c r="D24" s="28" t="s">
        <v>52</v>
      </c>
      <c r="E24" s="29">
        <f>MIN(E25:E33)</f>
        <v>46323</v>
      </c>
      <c r="F24" s="29">
        <f>MAX(F25:F33)</f>
        <v>46331</v>
      </c>
      <c r="G24" s="30">
        <f>COUNTIFS($I$10:$AV$10,"&gt;="&amp;E24,$I$10:$AV$10,"&lt;="&amp;F24)</f>
        <v>7</v>
      </c>
      <c r="H24" s="31">
        <f t="shared" si="3"/>
        <v>0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</row>
    <row r="25" ht="33.0" customHeight="1">
      <c r="A25" s="1"/>
      <c r="B25" s="33" t="s">
        <v>104</v>
      </c>
      <c r="C25" s="34" t="str">
        <f>'작업 상세'!C20</f>
        <v>세 역할의 화면·사용 흐름 설계</v>
      </c>
      <c r="D25" s="35" t="s">
        <v>355</v>
      </c>
      <c r="E25" s="36">
        <v>46323.0</v>
      </c>
      <c r="F25" s="36">
        <v>46324.0</v>
      </c>
      <c r="G25" s="38">
        <f t="shared" ref="G25:G33" si="5">IF(OR(E25="",F25=""),"",IF(F25&lt;E25,"기간 확인",COUNTIFS($I$10:$AV$10,"&gt;="&amp;E25,$I$10:$AV$10,"&lt;="&amp;F25)))</f>
        <v>2</v>
      </c>
      <c r="H25" s="31">
        <f t="shared" si="3"/>
        <v>0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</row>
    <row r="26" ht="33.0" customHeight="1">
      <c r="A26" s="1"/>
      <c r="B26" s="33" t="s">
        <v>111</v>
      </c>
      <c r="C26" s="34" t="str">
        <f>'작업 상세'!C21</f>
        <v>공개 API·연동 계약 설계</v>
      </c>
      <c r="D26" s="35" t="s">
        <v>303</v>
      </c>
      <c r="E26" s="36">
        <v>46323.0</v>
      </c>
      <c r="F26" s="36">
        <v>46325.0</v>
      </c>
      <c r="G26" s="38">
        <f t="shared" si="5"/>
        <v>3</v>
      </c>
      <c r="H26" s="31">
        <f t="shared" si="3"/>
        <v>0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</row>
    <row r="27" ht="33.0" customHeight="1">
      <c r="A27" s="1"/>
      <c r="B27" s="33" t="s">
        <v>116</v>
      </c>
      <c r="C27" s="34" t="str">
        <f>'작업 상세'!C22</f>
        <v>학습·대화·거래 기록 설계</v>
      </c>
      <c r="D27" s="35" t="s">
        <v>303</v>
      </c>
      <c r="E27" s="36">
        <v>46323.0</v>
      </c>
      <c r="F27" s="36">
        <v>46325.0</v>
      </c>
      <c r="G27" s="38">
        <f t="shared" si="5"/>
        <v>3</v>
      </c>
      <c r="H27" s="31">
        <f t="shared" si="3"/>
        <v>0</v>
      </c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</row>
    <row r="28" ht="33.0" customHeight="1">
      <c r="A28" s="1"/>
      <c r="B28" s="33" t="s">
        <v>122</v>
      </c>
      <c r="C28" s="34" t="str">
        <f>'작업 상세'!C23</f>
        <v>미션·기준표·예시 답 설계</v>
      </c>
      <c r="D28" s="35" t="s">
        <v>288</v>
      </c>
      <c r="E28" s="36">
        <v>46323.0</v>
      </c>
      <c r="F28" s="36">
        <v>46329.0</v>
      </c>
      <c r="G28" s="38">
        <f t="shared" si="5"/>
        <v>5</v>
      </c>
      <c r="H28" s="31">
        <f t="shared" si="3"/>
        <v>0</v>
      </c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</row>
    <row r="29" ht="33.0" customHeight="1">
      <c r="A29" s="1"/>
      <c r="B29" s="33" t="s">
        <v>129</v>
      </c>
      <c r="C29" s="34" t="str">
        <f>'작업 상세'!C24</f>
        <v>학습 데이터·분할 계획 준비</v>
      </c>
      <c r="D29" s="35" t="s">
        <v>314</v>
      </c>
      <c r="E29" s="36">
        <v>46323.0</v>
      </c>
      <c r="F29" s="36">
        <v>46328.0</v>
      </c>
      <c r="G29" s="38">
        <f t="shared" si="5"/>
        <v>4</v>
      </c>
      <c r="H29" s="31">
        <f t="shared" si="3"/>
        <v>0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</row>
    <row r="30" ht="33.0" customHeight="1">
      <c r="A30" s="1"/>
      <c r="B30" s="33" t="s">
        <v>136</v>
      </c>
      <c r="C30" s="34" t="str">
        <f>'작업 상세'!C25</f>
        <v>인증·권한·동의 설계</v>
      </c>
      <c r="D30" s="35" t="s">
        <v>303</v>
      </c>
      <c r="E30" s="36">
        <v>46325.0</v>
      </c>
      <c r="F30" s="36">
        <v>46329.0</v>
      </c>
      <c r="G30" s="38">
        <f t="shared" si="5"/>
        <v>3</v>
      </c>
      <c r="H30" s="31">
        <f t="shared" si="3"/>
        <v>0</v>
      </c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</row>
    <row r="31" ht="33.0" customHeight="1">
      <c r="A31" s="1"/>
      <c r="B31" s="33" t="s">
        <v>143</v>
      </c>
      <c r="C31" s="34" t="str">
        <f>'작업 상세'!C26</f>
        <v>배포·관측·복구 설계</v>
      </c>
      <c r="D31" s="35" t="s">
        <v>288</v>
      </c>
      <c r="E31" s="36">
        <v>46323.0</v>
      </c>
      <c r="F31" s="36">
        <v>46325.0</v>
      </c>
      <c r="G31" s="38">
        <f t="shared" si="5"/>
        <v>3</v>
      </c>
      <c r="H31" s="31">
        <f t="shared" si="3"/>
        <v>0</v>
      </c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</row>
    <row r="32" ht="33.0" customHeight="1">
      <c r="A32" s="1"/>
      <c r="B32" s="33" t="s">
        <v>154</v>
      </c>
      <c r="C32" s="34" t="str">
        <f>'작업 상세'!C27</f>
        <v>PG 테스트·구독 연동 설계</v>
      </c>
      <c r="D32" s="35" t="s">
        <v>303</v>
      </c>
      <c r="E32" s="36">
        <v>46325.0</v>
      </c>
      <c r="F32" s="36">
        <v>46329.0</v>
      </c>
      <c r="G32" s="38">
        <f t="shared" si="5"/>
        <v>3</v>
      </c>
      <c r="H32" s="31">
        <f t="shared" si="3"/>
        <v>0</v>
      </c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</row>
    <row r="33" ht="33.0" customHeight="1">
      <c r="A33" s="1"/>
      <c r="B33" s="33" t="s">
        <v>161</v>
      </c>
      <c r="C33" s="34" t="str">
        <f>'작업 상세'!C28</f>
        <v>최종 검증·평가 기준 설계</v>
      </c>
      <c r="D33" s="35" t="s">
        <v>52</v>
      </c>
      <c r="E33" s="36">
        <v>46329.0</v>
      </c>
      <c r="F33" s="36">
        <v>46331.0</v>
      </c>
      <c r="G33" s="38">
        <f t="shared" si="5"/>
        <v>3</v>
      </c>
      <c r="H33" s="31">
        <f t="shared" si="3"/>
        <v>0</v>
      </c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</row>
    <row r="34" ht="24.0" customHeight="1">
      <c r="A34" s="1"/>
      <c r="B34" s="26" t="s">
        <v>412</v>
      </c>
      <c r="C34" s="27" t="s">
        <v>169</v>
      </c>
      <c r="D34" s="28" t="s">
        <v>52</v>
      </c>
      <c r="E34" s="29">
        <f>MIN(E35:E70)</f>
        <v>46328</v>
      </c>
      <c r="F34" s="29">
        <f>MAX(F35:F70)</f>
        <v>46350</v>
      </c>
      <c r="G34" s="30">
        <f>COUNTIFS($I$10:$AV$10,"&gt;="&amp;E34,$I$10:$AV$10,"&lt;="&amp;F34)</f>
        <v>17</v>
      </c>
      <c r="H34" s="31">
        <f t="shared" si="3"/>
        <v>0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</row>
    <row r="35" ht="33.0" customHeight="1">
      <c r="A35" s="1"/>
      <c r="B35" s="33" t="s">
        <v>168</v>
      </c>
      <c r="C35" s="34" t="str">
        <f>'작업 상세'!C29</f>
        <v>개발 환경·서버 기본 구성</v>
      </c>
      <c r="D35" s="35" t="s">
        <v>303</v>
      </c>
      <c r="E35" s="36">
        <v>46328.0</v>
      </c>
      <c r="F35" s="36">
        <v>46330.0</v>
      </c>
      <c r="G35" s="38">
        <f t="shared" ref="G35:G70" si="6">IF(OR(E35="",F35=""),"",IF(F35&lt;E35,"기간 확인",COUNTIFS($I$10:$AV$10,"&gt;="&amp;E35,$I$10:$AV$10,"&lt;="&amp;F35)))</f>
        <v>3</v>
      </c>
      <c r="H35" s="31">
        <f t="shared" si="3"/>
        <v>0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</row>
    <row r="36" ht="33.0" customHeight="1">
      <c r="A36" s="1"/>
      <c r="B36" s="33" t="s">
        <v>176</v>
      </c>
      <c r="C36" s="34" t="str">
        <f>'작업 상세'!C30</f>
        <v>가입·로그인·동의 구현</v>
      </c>
      <c r="D36" s="35" t="s">
        <v>303</v>
      </c>
      <c r="E36" s="36">
        <v>46335.0</v>
      </c>
      <c r="F36" s="36">
        <v>46338.0</v>
      </c>
      <c r="G36" s="38">
        <f t="shared" si="6"/>
        <v>4</v>
      </c>
      <c r="H36" s="31">
        <f t="shared" si="3"/>
        <v>0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</row>
    <row r="37" ht="33.0" customHeight="1">
      <c r="A37" s="1"/>
      <c r="B37" s="33" t="s">
        <v>183</v>
      </c>
      <c r="C37" s="34" t="str">
        <f>'작업 상세'!C31</f>
        <v>자녀 연결·접근 권한 구현</v>
      </c>
      <c r="D37" s="35" t="s">
        <v>303</v>
      </c>
      <c r="E37" s="36">
        <v>46335.0</v>
      </c>
      <c r="F37" s="36">
        <v>46339.0</v>
      </c>
      <c r="G37" s="38">
        <f t="shared" si="6"/>
        <v>5</v>
      </c>
      <c r="H37" s="31">
        <f t="shared" si="3"/>
        <v>0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</row>
    <row r="38" ht="33.0" customHeight="1">
      <c r="A38" s="1"/>
      <c r="B38" s="33" t="s">
        <v>189</v>
      </c>
      <c r="C38" s="34" t="str">
        <f>'작업 상세'!C32</f>
        <v>계정 복구·수정·탈퇴 구현</v>
      </c>
      <c r="D38" s="35" t="s">
        <v>303</v>
      </c>
      <c r="E38" s="36">
        <v>46342.0</v>
      </c>
      <c r="F38" s="36">
        <v>46344.0</v>
      </c>
      <c r="G38" s="38">
        <f t="shared" si="6"/>
        <v>3</v>
      </c>
      <c r="H38" s="31">
        <f t="shared" si="3"/>
        <v>0</v>
      </c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</row>
    <row r="39" ht="33.0" customHeight="1">
      <c r="A39" s="1"/>
      <c r="B39" s="33" t="s">
        <v>197</v>
      </c>
      <c r="C39" s="34" t="str">
        <f>'작업 상세'!C33</f>
        <v>자체 미션·기준표 콘텐츠 제작</v>
      </c>
      <c r="D39" s="35" t="s">
        <v>288</v>
      </c>
      <c r="E39" s="36">
        <v>46330.0</v>
      </c>
      <c r="F39" s="36">
        <v>46339.0</v>
      </c>
      <c r="G39" s="38">
        <f t="shared" si="6"/>
        <v>8</v>
      </c>
      <c r="H39" s="31">
        <f t="shared" si="3"/>
        <v>0</v>
      </c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</row>
    <row r="40" ht="33.0" customHeight="1">
      <c r="A40" s="1"/>
      <c r="B40" s="33" t="s">
        <v>203</v>
      </c>
      <c r="C40" s="34" t="str">
        <f>'작업 상세'!C34</f>
        <v>관리자 문제 운영 화면 구현</v>
      </c>
      <c r="D40" s="35" t="s">
        <v>355</v>
      </c>
      <c r="E40" s="36">
        <v>46335.0</v>
      </c>
      <c r="F40" s="36">
        <v>46339.0</v>
      </c>
      <c r="G40" s="38">
        <f t="shared" si="6"/>
        <v>5</v>
      </c>
      <c r="H40" s="31">
        <f t="shared" si="3"/>
        <v>0</v>
      </c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</row>
    <row r="41" ht="33.0" customHeight="1">
      <c r="A41" s="1"/>
      <c r="B41" s="33" t="s">
        <v>210</v>
      </c>
      <c r="C41" s="34" t="str">
        <f>'작업 상세'!C35</f>
        <v>미션 탐색·입력 화면 구현</v>
      </c>
      <c r="D41" s="35" t="s">
        <v>355</v>
      </c>
      <c r="E41" s="36">
        <v>46335.0</v>
      </c>
      <c r="F41" s="36">
        <v>46339.0</v>
      </c>
      <c r="G41" s="38">
        <f t="shared" si="6"/>
        <v>5</v>
      </c>
      <c r="H41" s="31">
        <f t="shared" si="3"/>
        <v>0</v>
      </c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</row>
    <row r="42" ht="33.0" customHeight="1">
      <c r="A42" s="1"/>
      <c r="B42" s="33" t="s">
        <v>217</v>
      </c>
      <c r="C42" s="34" t="str">
        <f>'작업 상세'!C36</f>
        <v>답변 버전·제출 상태 구현</v>
      </c>
      <c r="D42" s="35" t="s">
        <v>303</v>
      </c>
      <c r="E42" s="36">
        <v>46335.0</v>
      </c>
      <c r="F42" s="36">
        <v>46339.0</v>
      </c>
      <c r="G42" s="38">
        <f t="shared" si="6"/>
        <v>5</v>
      </c>
      <c r="H42" s="31">
        <f t="shared" si="3"/>
        <v>0</v>
      </c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</row>
    <row r="43" ht="33.0" customHeight="1">
      <c r="A43" s="1"/>
      <c r="B43" s="33" t="s">
        <v>224</v>
      </c>
      <c r="C43" s="34" t="str">
        <f>'작업 상세'!C37</f>
        <v>초안 저장·이어하기 구현</v>
      </c>
      <c r="D43" s="35" t="s">
        <v>303</v>
      </c>
      <c r="E43" s="36">
        <v>46342.0</v>
      </c>
      <c r="F43" s="36">
        <v>46344.0</v>
      </c>
      <c r="G43" s="38">
        <f t="shared" si="6"/>
        <v>3</v>
      </c>
      <c r="H43" s="31">
        <f t="shared" si="3"/>
        <v>0</v>
      </c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</row>
    <row r="44" ht="33.0" customHeight="1">
      <c r="A44" s="1"/>
      <c r="B44" s="33" t="s">
        <v>231</v>
      </c>
      <c r="C44" s="34" t="str">
        <f>'작업 상세'!C38</f>
        <v>규칙 판정·근거 대조 구현</v>
      </c>
      <c r="D44" s="35" t="s">
        <v>311</v>
      </c>
      <c r="E44" s="36">
        <v>46335.0</v>
      </c>
      <c r="F44" s="36">
        <v>46339.0</v>
      </c>
      <c r="G44" s="38">
        <f t="shared" si="6"/>
        <v>5</v>
      </c>
      <c r="H44" s="31">
        <f t="shared" si="3"/>
        <v>0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</row>
    <row r="45" ht="33.0" customHeight="1">
      <c r="A45" s="1"/>
      <c r="B45" s="33" t="s">
        <v>238</v>
      </c>
      <c r="C45" s="34" t="str">
        <f>'작업 상세'!C39</f>
        <v>학생 되묻기·대화 구현</v>
      </c>
      <c r="D45" s="35" t="s">
        <v>311</v>
      </c>
      <c r="E45" s="36">
        <v>46342.0</v>
      </c>
      <c r="F45" s="36">
        <v>46346.0</v>
      </c>
      <c r="G45" s="38">
        <f t="shared" si="6"/>
        <v>5</v>
      </c>
      <c r="H45" s="31">
        <f t="shared" si="3"/>
        <v>0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</row>
    <row r="46" ht="33.0" customHeight="1">
      <c r="A46" s="1"/>
      <c r="B46" s="33" t="s">
        <v>245</v>
      </c>
      <c r="C46" s="34" t="str">
        <f>'작업 상세'!C40</f>
        <v>결과·돌아보기·자기 평가 구현</v>
      </c>
      <c r="D46" s="35" t="s">
        <v>355</v>
      </c>
      <c r="E46" s="36">
        <v>46349.0</v>
      </c>
      <c r="F46" s="36">
        <v>46350.0</v>
      </c>
      <c r="G46" s="38">
        <f t="shared" si="6"/>
        <v>2</v>
      </c>
      <c r="H46" s="31">
        <f t="shared" si="3"/>
        <v>0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</row>
    <row r="47" ht="33.0" customHeight="1">
      <c r="A47" s="1"/>
      <c r="B47" s="33" t="s">
        <v>252</v>
      </c>
      <c r="C47" s="34" t="str">
        <f>'작업 상세'!C41</f>
        <v>사용 환경·음성 학습 보조 구현</v>
      </c>
      <c r="D47" s="35" t="s">
        <v>355</v>
      </c>
      <c r="E47" s="36">
        <v>46349.0</v>
      </c>
      <c r="F47" s="36">
        <v>46350.0</v>
      </c>
      <c r="G47" s="38">
        <f t="shared" si="6"/>
        <v>2</v>
      </c>
      <c r="H47" s="31">
        <f t="shared" si="3"/>
        <v>0</v>
      </c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</row>
    <row r="48" ht="33.0" customHeight="1">
      <c r="A48" s="1"/>
      <c r="B48" s="33" t="s">
        <v>259</v>
      </c>
      <c r="C48" s="34" t="str">
        <f>'작업 상세'!C42</f>
        <v>학생 대시보드 연결</v>
      </c>
      <c r="D48" s="35" t="s">
        <v>355</v>
      </c>
      <c r="E48" s="36">
        <v>46349.0</v>
      </c>
      <c r="F48" s="36">
        <v>46350.0</v>
      </c>
      <c r="G48" s="38">
        <f t="shared" si="6"/>
        <v>2</v>
      </c>
      <c r="H48" s="31">
        <f t="shared" si="3"/>
        <v>0</v>
      </c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</row>
    <row r="49" ht="33.0" customHeight="1">
      <c r="A49" s="1"/>
      <c r="B49" s="33" t="s">
        <v>266</v>
      </c>
      <c r="C49" s="34" t="str">
        <f>'작업 상세'!C43</f>
        <v>학부모 조회 도구·집계 구현</v>
      </c>
      <c r="D49" s="35" t="s">
        <v>311</v>
      </c>
      <c r="E49" s="36">
        <v>46342.0</v>
      </c>
      <c r="F49" s="36">
        <v>46344.0</v>
      </c>
      <c r="G49" s="38">
        <f t="shared" si="6"/>
        <v>3</v>
      </c>
      <c r="H49" s="31">
        <f t="shared" si="3"/>
        <v>0</v>
      </c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</row>
    <row r="50" ht="33.0" customHeight="1">
      <c r="A50" s="1"/>
      <c r="B50" s="33" t="s">
        <v>272</v>
      </c>
      <c r="C50" s="34" t="str">
        <f>'작업 상세'!C44</f>
        <v>학부모 분석 대화 구현</v>
      </c>
      <c r="D50" s="35" t="s">
        <v>311</v>
      </c>
      <c r="E50" s="36">
        <v>46345.0</v>
      </c>
      <c r="F50" s="36">
        <v>46346.0</v>
      </c>
      <c r="G50" s="38">
        <f t="shared" si="6"/>
        <v>2</v>
      </c>
      <c r="H50" s="31">
        <f t="shared" si="3"/>
        <v>0</v>
      </c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</row>
    <row r="51" ht="33.0" customHeight="1">
      <c r="A51" s="1"/>
      <c r="B51" s="33" t="s">
        <v>279</v>
      </c>
      <c r="C51" s="34" t="str">
        <f>'작업 상세'!C45</f>
        <v>주간 리포트 생성·조회 구현</v>
      </c>
      <c r="D51" s="35" t="s">
        <v>311</v>
      </c>
      <c r="E51" s="36">
        <v>46345.0</v>
      </c>
      <c r="F51" s="36">
        <v>46346.0</v>
      </c>
      <c r="G51" s="38">
        <f t="shared" si="6"/>
        <v>2</v>
      </c>
      <c r="H51" s="31">
        <f t="shared" si="3"/>
        <v>0</v>
      </c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</row>
    <row r="52" ht="33.0" customHeight="1">
      <c r="A52" s="1"/>
      <c r="B52" s="33" t="s">
        <v>286</v>
      </c>
      <c r="C52" s="34" t="str">
        <f>'작업 상세'!C46</f>
        <v>학부모 대시보드·파일 내보내기</v>
      </c>
      <c r="D52" s="35" t="s">
        <v>355</v>
      </c>
      <c r="E52" s="36">
        <v>46349.0</v>
      </c>
      <c r="F52" s="36">
        <v>46350.0</v>
      </c>
      <c r="G52" s="38">
        <f t="shared" si="6"/>
        <v>2</v>
      </c>
      <c r="H52" s="31">
        <f t="shared" si="3"/>
        <v>0</v>
      </c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</row>
    <row r="53" ht="33.0" customHeight="1">
      <c r="A53" s="1"/>
      <c r="B53" s="33" t="s">
        <v>294</v>
      </c>
      <c r="C53" s="34" t="str">
        <f>'작업 상세'!C47</f>
        <v>오류 신고·도움말·문의 구현</v>
      </c>
      <c r="D53" s="35" t="s">
        <v>303</v>
      </c>
      <c r="E53" s="36">
        <v>46349.0</v>
      </c>
      <c r="F53" s="36">
        <v>46350.0</v>
      </c>
      <c r="G53" s="38">
        <f t="shared" si="6"/>
        <v>2</v>
      </c>
      <c r="H53" s="31">
        <f t="shared" si="3"/>
        <v>0</v>
      </c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</row>
    <row r="54" ht="33.0" customHeight="1">
      <c r="A54" s="1"/>
      <c r="B54" s="33" t="s">
        <v>301</v>
      </c>
      <c r="C54" s="34" t="str">
        <f>'작업 상세'!C48</f>
        <v>사용자 알림 구현</v>
      </c>
      <c r="D54" s="35" t="s">
        <v>303</v>
      </c>
      <c r="E54" s="36">
        <v>46350.0</v>
      </c>
      <c r="F54" s="36">
        <v>46350.0</v>
      </c>
      <c r="G54" s="38">
        <f t="shared" si="6"/>
        <v>1</v>
      </c>
      <c r="H54" s="31">
        <f t="shared" si="3"/>
        <v>0</v>
      </c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</row>
    <row r="55" ht="33.0" customHeight="1">
      <c r="A55" s="1"/>
      <c r="B55" s="33" t="s">
        <v>309</v>
      </c>
      <c r="C55" s="34" t="str">
        <f>'작업 상세'!C49</f>
        <v>관리자 대시보드·조치 연결</v>
      </c>
      <c r="D55" s="35" t="s">
        <v>355</v>
      </c>
      <c r="E55" s="36">
        <v>46350.0</v>
      </c>
      <c r="F55" s="36">
        <v>46350.0</v>
      </c>
      <c r="G55" s="38">
        <f t="shared" si="6"/>
        <v>1</v>
      </c>
      <c r="H55" s="31">
        <f t="shared" si="3"/>
        <v>0</v>
      </c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</row>
    <row r="56" ht="33.0" customHeight="1">
      <c r="A56" s="1"/>
      <c r="B56" s="33" t="s">
        <v>318</v>
      </c>
      <c r="C56" s="34" t="str">
        <f>'작업 상세'!C50</f>
        <v>PG 테스트 결제·승인 구현</v>
      </c>
      <c r="D56" s="35" t="s">
        <v>303</v>
      </c>
      <c r="E56" s="36">
        <v>46335.0</v>
      </c>
      <c r="F56" s="36">
        <v>46339.0</v>
      </c>
      <c r="G56" s="38">
        <f t="shared" si="6"/>
        <v>5</v>
      </c>
      <c r="H56" s="31">
        <f t="shared" si="3"/>
        <v>0</v>
      </c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</row>
    <row r="57" ht="33.0" customHeight="1">
      <c r="A57" s="1"/>
      <c r="B57" s="33" t="s">
        <v>325</v>
      </c>
      <c r="C57" s="34" t="str">
        <f>'작업 상세'!C51</f>
        <v>구독·갱신·해지·환불 구현</v>
      </c>
      <c r="D57" s="35" t="s">
        <v>303</v>
      </c>
      <c r="E57" s="36">
        <v>46342.0</v>
      </c>
      <c r="F57" s="36">
        <v>46346.0</v>
      </c>
      <c r="G57" s="38">
        <f t="shared" si="6"/>
        <v>5</v>
      </c>
      <c r="H57" s="31">
        <f t="shared" si="3"/>
        <v>0</v>
      </c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</row>
    <row r="58" ht="33.0" customHeight="1">
      <c r="A58" s="1"/>
      <c r="B58" s="33" t="s">
        <v>332</v>
      </c>
      <c r="C58" s="34" t="str">
        <f>'작업 상세'!C52</f>
        <v>결제 운영·거래 대조 구현</v>
      </c>
      <c r="D58" s="35" t="s">
        <v>303</v>
      </c>
      <c r="E58" s="36">
        <v>46349.0</v>
      </c>
      <c r="F58" s="36">
        <v>46350.0</v>
      </c>
      <c r="G58" s="38">
        <f t="shared" si="6"/>
        <v>2</v>
      </c>
      <c r="H58" s="31">
        <f t="shared" si="3"/>
        <v>0</v>
      </c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</row>
    <row r="59" ht="33.0" customHeight="1">
      <c r="A59" s="1"/>
      <c r="B59" s="33" t="s">
        <v>339</v>
      </c>
      <c r="C59" s="34" t="str">
        <f>'작업 상세'!C53</f>
        <v>로그·경보·재시도·백업 구현</v>
      </c>
      <c r="D59" s="35" t="s">
        <v>288</v>
      </c>
      <c r="E59" s="36">
        <v>46342.0</v>
      </c>
      <c r="F59" s="36">
        <v>46346.0</v>
      </c>
      <c r="G59" s="38">
        <f t="shared" si="6"/>
        <v>5</v>
      </c>
      <c r="H59" s="31">
        <f t="shared" si="3"/>
        <v>0</v>
      </c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</row>
    <row r="60" ht="33.0" customHeight="1">
      <c r="A60" s="1"/>
      <c r="B60" s="33" t="s">
        <v>346</v>
      </c>
      <c r="C60" s="34" t="str">
        <f>'작업 상세'!C54</f>
        <v>모델 버전·활성화·사용량 구현</v>
      </c>
      <c r="D60" s="35" t="s">
        <v>314</v>
      </c>
      <c r="E60" s="36">
        <v>46349.0</v>
      </c>
      <c r="F60" s="36">
        <v>46350.0</v>
      </c>
      <c r="G60" s="38">
        <f t="shared" si="6"/>
        <v>2</v>
      </c>
      <c r="H60" s="31">
        <f t="shared" si="3"/>
        <v>0</v>
      </c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</row>
    <row r="61" ht="33.0" customHeight="1">
      <c r="A61" s="1"/>
      <c r="B61" s="33" t="s">
        <v>353</v>
      </c>
      <c r="C61" s="34" t="str">
        <f>'작업 상세'!C55</f>
        <v>M2 학습·기준선 산출</v>
      </c>
      <c r="D61" s="35" t="s">
        <v>314</v>
      </c>
      <c r="E61" s="36">
        <v>46330.0</v>
      </c>
      <c r="F61" s="36">
        <v>46339.0</v>
      </c>
      <c r="G61" s="38">
        <f t="shared" si="6"/>
        <v>8</v>
      </c>
      <c r="H61" s="31">
        <f t="shared" si="3"/>
        <v>0</v>
      </c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</row>
    <row r="62" ht="33.0" customHeight="1">
      <c r="A62" s="1"/>
      <c r="B62" s="33" t="s">
        <v>361</v>
      </c>
      <c r="C62" s="34" t="str">
        <f>'작업 상세'!C56</f>
        <v>설명 sLLM 학습·기본 모델 비교</v>
      </c>
      <c r="D62" s="35" t="s">
        <v>314</v>
      </c>
      <c r="E62" s="36">
        <v>46335.0</v>
      </c>
      <c r="F62" s="36">
        <v>46346.0</v>
      </c>
      <c r="G62" s="38">
        <f t="shared" si="6"/>
        <v>10</v>
      </c>
      <c r="H62" s="31">
        <f t="shared" si="3"/>
        <v>0</v>
      </c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</row>
    <row r="63" ht="33.0" customHeight="1">
      <c r="A63" s="1"/>
      <c r="B63" s="33" t="s">
        <v>368</v>
      </c>
      <c r="C63" s="34" t="str">
        <f>'작업 상세'!C57</f>
        <v>M1 수학 비교 실험</v>
      </c>
      <c r="D63" s="35" t="s">
        <v>314</v>
      </c>
      <c r="E63" s="36">
        <v>46335.0</v>
      </c>
      <c r="F63" s="36">
        <v>46344.0</v>
      </c>
      <c r="G63" s="38">
        <f t="shared" si="6"/>
        <v>8</v>
      </c>
      <c r="H63" s="31">
        <f t="shared" si="3"/>
        <v>0</v>
      </c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</row>
    <row r="64" ht="33.0" customHeight="1">
      <c r="A64" s="1"/>
      <c r="B64" s="33" t="s">
        <v>374</v>
      </c>
      <c r="C64" s="34" t="str">
        <f>'작업 상세'!C58</f>
        <v>모델 결과·리포트 연동 구성</v>
      </c>
      <c r="D64" s="35" t="s">
        <v>311</v>
      </c>
      <c r="E64" s="36">
        <v>46346.0</v>
      </c>
      <c r="F64" s="36">
        <v>46346.0</v>
      </c>
      <c r="G64" s="38">
        <f t="shared" si="6"/>
        <v>1</v>
      </c>
      <c r="H64" s="31">
        <f t="shared" si="3"/>
        <v>0</v>
      </c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</row>
    <row r="65" ht="33.0" customHeight="1">
      <c r="A65" s="1"/>
      <c r="B65" s="33" t="s">
        <v>381</v>
      </c>
      <c r="C65" s="34" t="str">
        <f>'작업 상세'!C59</f>
        <v>최종 자동 검증 코드 작성</v>
      </c>
      <c r="D65" s="35" t="s">
        <v>52</v>
      </c>
      <c r="E65" s="36">
        <v>46349.0</v>
      </c>
      <c r="F65" s="36">
        <v>46350.0</v>
      </c>
      <c r="G65" s="38">
        <f t="shared" si="6"/>
        <v>2</v>
      </c>
      <c r="H65" s="31">
        <f t="shared" si="3"/>
        <v>0</v>
      </c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</row>
    <row r="66" ht="33.0" customHeight="1">
      <c r="A66" s="1"/>
      <c r="B66" s="33" t="s">
        <v>387</v>
      </c>
      <c r="C66" s="34" t="str">
        <f>'작업 상세'!C60</f>
        <v>전체 연결 구현·문서 정리</v>
      </c>
      <c r="D66" s="35" t="s">
        <v>303</v>
      </c>
      <c r="E66" s="36">
        <v>46350.0</v>
      </c>
      <c r="F66" s="36">
        <v>46350.0</v>
      </c>
      <c r="G66" s="38">
        <f t="shared" si="6"/>
        <v>1</v>
      </c>
      <c r="H66" s="31">
        <f t="shared" si="3"/>
        <v>0</v>
      </c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</row>
    <row r="67" ht="33.0" customHeight="1">
      <c r="A67" s="1"/>
      <c r="B67" s="33" t="s">
        <v>394</v>
      </c>
      <c r="C67" s="34" t="str">
        <f>'작업 상세'!C61</f>
        <v>학습 데이터 정제·전처리 결과 정리</v>
      </c>
      <c r="D67" s="35" t="s">
        <v>314</v>
      </c>
      <c r="E67" s="36">
        <v>46328.0</v>
      </c>
      <c r="F67" s="36">
        <v>46329.0</v>
      </c>
      <c r="G67" s="38">
        <f t="shared" si="6"/>
        <v>2</v>
      </c>
      <c r="H67" s="31">
        <f t="shared" si="3"/>
        <v>0</v>
      </c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</row>
    <row r="68" ht="33.0" customHeight="1">
      <c r="A68" s="1"/>
      <c r="B68" s="33" t="s">
        <v>399</v>
      </c>
      <c r="C68" s="34" t="str">
        <f>'작업 상세'!C62</f>
        <v>DB 스키마·DDL·저장소 명세 작성</v>
      </c>
      <c r="D68" s="35" t="s">
        <v>303</v>
      </c>
      <c r="E68" s="36">
        <v>46328.0</v>
      </c>
      <c r="F68" s="36">
        <v>46332.0</v>
      </c>
      <c r="G68" s="38">
        <f t="shared" si="6"/>
        <v>5</v>
      </c>
      <c r="H68" s="31">
        <f t="shared" si="3"/>
        <v>0</v>
      </c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</row>
    <row r="69" ht="33.0" customHeight="1">
      <c r="A69" s="1"/>
      <c r="B69" s="33" t="s">
        <v>404</v>
      </c>
      <c r="C69" s="34" t="str">
        <f>'작업 상세'!C63</f>
        <v>검색 저장소 구축·결과서 정리</v>
      </c>
      <c r="D69" s="35" t="s">
        <v>311</v>
      </c>
      <c r="E69" s="36">
        <v>46335.0</v>
      </c>
      <c r="F69" s="36">
        <v>46339.0</v>
      </c>
      <c r="G69" s="38">
        <f t="shared" si="6"/>
        <v>5</v>
      </c>
      <c r="H69" s="31">
        <f t="shared" si="3"/>
        <v>0</v>
      </c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</row>
    <row r="70" ht="33.0" customHeight="1">
      <c r="A70" s="1"/>
      <c r="B70" s="33" t="s">
        <v>410</v>
      </c>
      <c r="C70" s="34" t="str">
        <f>'작업 상세'!C64</f>
        <v>최종 발표·시연 시나리오 초안 작성</v>
      </c>
      <c r="D70" s="35" t="s">
        <v>52</v>
      </c>
      <c r="E70" s="36">
        <v>46349.0</v>
      </c>
      <c r="F70" s="36">
        <v>46350.0</v>
      </c>
      <c r="G70" s="38">
        <f t="shared" si="6"/>
        <v>2</v>
      </c>
      <c r="H70" s="31">
        <f t="shared" si="3"/>
        <v>0</v>
      </c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</row>
    <row r="71" ht="24.0" customHeight="1">
      <c r="A71" s="1"/>
      <c r="B71" s="26" t="s">
        <v>598</v>
      </c>
      <c r="C71" s="27" t="s">
        <v>418</v>
      </c>
      <c r="D71" s="28" t="s">
        <v>52</v>
      </c>
      <c r="E71" s="29">
        <f>MIN(E72:E82)</f>
        <v>46351</v>
      </c>
      <c r="F71" s="29">
        <f>MAX(F72:F82)</f>
        <v>46364</v>
      </c>
      <c r="G71" s="30">
        <f>COUNTIFS($I$10:$AV$10,"&gt;="&amp;E71,$I$10:$AV$10,"&lt;="&amp;F71)</f>
        <v>10</v>
      </c>
      <c r="H71" s="31">
        <f t="shared" si="3"/>
        <v>0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</row>
    <row r="72" ht="33.0" customHeight="1">
      <c r="A72" s="1"/>
      <c r="B72" s="33" t="s">
        <v>417</v>
      </c>
      <c r="C72" s="34" t="str">
        <f>'작업 상세'!C65</f>
        <v>필수 자동 검증·정적 검사 일괄 실행</v>
      </c>
      <c r="D72" s="35" t="s">
        <v>52</v>
      </c>
      <c r="E72" s="36">
        <v>46351.0</v>
      </c>
      <c r="F72" s="36">
        <v>46352.0</v>
      </c>
      <c r="G72" s="38">
        <f t="shared" ref="G72:G82" si="7">IF(OR(E72="",F72=""),"",IF(F72&lt;E72,"기간 확인",COUNTIFS($I$10:$AV$10,"&gt;="&amp;E72,$I$10:$AV$10,"&lt;="&amp;F72)))</f>
        <v>2</v>
      </c>
      <c r="H72" s="31">
        <f t="shared" si="3"/>
        <v>0</v>
      </c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</row>
    <row r="73" ht="33.0" customHeight="1">
      <c r="A73" s="48"/>
      <c r="B73" s="33" t="s">
        <v>425</v>
      </c>
      <c r="C73" s="34" t="str">
        <f>'작업 상세'!C66</f>
        <v>모델 품질·독립 사람 평가</v>
      </c>
      <c r="D73" s="35" t="s">
        <v>314</v>
      </c>
      <c r="E73" s="36">
        <v>46351.0</v>
      </c>
      <c r="F73" s="36">
        <v>46352.0</v>
      </c>
      <c r="G73" s="38">
        <f t="shared" si="7"/>
        <v>2</v>
      </c>
      <c r="H73" s="31">
        <f t="shared" si="3"/>
        <v>0</v>
      </c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</row>
    <row r="74" ht="33.0" customHeight="1">
      <c r="A74" s="48"/>
      <c r="B74" s="33" t="s">
        <v>432</v>
      </c>
      <c r="C74" s="34" t="str">
        <f>'작업 상세'!C67</f>
        <v>학생·학부모·관리자 연결 검증</v>
      </c>
      <c r="D74" s="35" t="s">
        <v>52</v>
      </c>
      <c r="E74" s="36">
        <v>46356.0</v>
      </c>
      <c r="F74" s="36">
        <v>46358.0</v>
      </c>
      <c r="G74" s="38">
        <f t="shared" si="7"/>
        <v>3</v>
      </c>
      <c r="H74" s="31">
        <f t="shared" si="3"/>
        <v>0</v>
      </c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</row>
    <row r="75" ht="33.0" customHeight="1">
      <c r="A75" s="48"/>
      <c r="B75" s="33" t="s">
        <v>438</v>
      </c>
      <c r="C75" s="34" t="str">
        <f>'작업 상세'!C68</f>
        <v>PG 테스트·구독 권한 검증</v>
      </c>
      <c r="D75" s="35" t="s">
        <v>303</v>
      </c>
      <c r="E75" s="36">
        <v>46356.0</v>
      </c>
      <c r="F75" s="36">
        <v>46358.0</v>
      </c>
      <c r="G75" s="38">
        <f t="shared" si="7"/>
        <v>3</v>
      </c>
      <c r="H75" s="31">
        <f t="shared" si="3"/>
        <v>0</v>
      </c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</row>
    <row r="76" ht="33.0" customHeight="1">
      <c r="A76" s="48"/>
      <c r="B76" s="33" t="s">
        <v>444</v>
      </c>
      <c r="C76" s="34" t="str">
        <f>'작업 상세'!C69</f>
        <v>보안·장애·복구·지연 확인</v>
      </c>
      <c r="D76" s="35" t="s">
        <v>288</v>
      </c>
      <c r="E76" s="36">
        <v>46356.0</v>
      </c>
      <c r="F76" s="36">
        <v>46358.0</v>
      </c>
      <c r="G76" s="38">
        <f t="shared" si="7"/>
        <v>3</v>
      </c>
      <c r="H76" s="31">
        <f t="shared" si="3"/>
        <v>0</v>
      </c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</row>
    <row r="77" ht="33.0" customHeight="1">
      <c r="A77" s="48"/>
      <c r="B77" s="33" t="s">
        <v>450</v>
      </c>
      <c r="C77" s="34" t="str">
        <f>'작업 상세'!C70</f>
        <v>실패 수정·영향 범위 재검증</v>
      </c>
      <c r="D77" s="35" t="s">
        <v>52</v>
      </c>
      <c r="E77" s="36">
        <v>46359.0</v>
      </c>
      <c r="F77" s="36">
        <v>46360.0</v>
      </c>
      <c r="G77" s="38">
        <f t="shared" si="7"/>
        <v>2</v>
      </c>
      <c r="H77" s="31">
        <f t="shared" si="3"/>
        <v>0</v>
      </c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</row>
    <row r="78" ht="33.0" customHeight="1">
      <c r="A78" s="48"/>
      <c r="B78" s="33" t="s">
        <v>456</v>
      </c>
      <c r="C78" s="34" t="str">
        <f>'작업 상세'!C71</f>
        <v>범위·모델·배포 승인 판단</v>
      </c>
      <c r="D78" s="35" t="s">
        <v>52</v>
      </c>
      <c r="E78" s="36">
        <v>46363.0</v>
      </c>
      <c r="F78" s="36">
        <v>46363.0</v>
      </c>
      <c r="G78" s="38">
        <f t="shared" si="7"/>
        <v>1</v>
      </c>
      <c r="H78" s="31">
        <f t="shared" si="3"/>
        <v>0</v>
      </c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</row>
    <row r="79" ht="33.0" customHeight="1">
      <c r="A79" s="48"/>
      <c r="B79" s="33" t="s">
        <v>462</v>
      </c>
      <c r="C79" s="34" t="str">
        <f>'작업 상세'!C72</f>
        <v>승인 버전 배포·시연 계정 준비</v>
      </c>
      <c r="D79" s="35" t="s">
        <v>288</v>
      </c>
      <c r="E79" s="36">
        <v>46363.0</v>
      </c>
      <c r="F79" s="36">
        <v>46363.0</v>
      </c>
      <c r="G79" s="38">
        <f t="shared" si="7"/>
        <v>1</v>
      </c>
      <c r="H79" s="31">
        <f t="shared" si="3"/>
        <v>0</v>
      </c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</row>
    <row r="80" ht="33.0" customHeight="1">
      <c r="A80" s="48"/>
      <c r="B80" s="33" t="s">
        <v>468</v>
      </c>
      <c r="C80" s="34" t="str">
        <f>'작업 상세'!C73</f>
        <v>배포 환경의 실제 경로 확인</v>
      </c>
      <c r="D80" s="35" t="s">
        <v>52</v>
      </c>
      <c r="E80" s="36">
        <v>46364.0</v>
      </c>
      <c r="F80" s="36">
        <v>46364.0</v>
      </c>
      <c r="G80" s="38">
        <f t="shared" si="7"/>
        <v>1</v>
      </c>
      <c r="H80" s="31">
        <f t="shared" si="3"/>
        <v>0</v>
      </c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</row>
    <row r="81" ht="33.0" customHeight="1">
      <c r="A81" s="48"/>
      <c r="B81" s="33" t="s">
        <v>474</v>
      </c>
      <c r="C81" s="34" t="str">
        <f>'작업 상세'!C74</f>
        <v>최종 산출물·미완료 항목 인계</v>
      </c>
      <c r="D81" s="35" t="s">
        <v>52</v>
      </c>
      <c r="E81" s="36">
        <v>46364.0</v>
      </c>
      <c r="F81" s="36">
        <v>46364.0</v>
      </c>
      <c r="G81" s="38">
        <f t="shared" si="7"/>
        <v>1</v>
      </c>
      <c r="H81" s="31">
        <f t="shared" si="3"/>
        <v>0</v>
      </c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</row>
    <row r="82" ht="33.0" customHeight="1">
      <c r="A82" s="48"/>
      <c r="B82" s="33" t="s">
        <v>479</v>
      </c>
      <c r="C82" s="34" t="str">
        <f>'작업 상세'!C75</f>
        <v>에이전트 연동·근거·종료 조건 검증</v>
      </c>
      <c r="D82" s="35" t="s">
        <v>311</v>
      </c>
      <c r="E82" s="36">
        <v>46353.0</v>
      </c>
      <c r="F82" s="36">
        <v>46353.0</v>
      </c>
      <c r="G82" s="38">
        <f t="shared" si="7"/>
        <v>1</v>
      </c>
      <c r="H82" s="31">
        <f t="shared" si="3"/>
        <v>0</v>
      </c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</row>
    <row r="83" ht="24.0" customHeight="1">
      <c r="A83" s="48"/>
      <c r="B83" s="26" t="s">
        <v>653</v>
      </c>
      <c r="C83" s="27" t="s">
        <v>486</v>
      </c>
      <c r="D83" s="28" t="s">
        <v>52</v>
      </c>
      <c r="E83" s="29">
        <f>MIN(E84:E104)</f>
        <v>46318</v>
      </c>
      <c r="F83" s="29">
        <f>MAX(F84:F104)</f>
        <v>46364</v>
      </c>
      <c r="G83" s="30">
        <f>COUNTIFS($I$10:$AV$10,"&gt;="&amp;E83,$I$10:$AV$10,"&lt;="&amp;F83)</f>
        <v>33</v>
      </c>
      <c r="H83" s="31">
        <f t="shared" si="3"/>
        <v>0</v>
      </c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</row>
    <row r="84" ht="33.0" customHeight="1">
      <c r="A84" s="48"/>
      <c r="B84" s="33" t="s">
        <v>485</v>
      </c>
      <c r="C84" s="34" t="str">
        <f>'작업 상세'!C76</f>
        <v>요구사항 정의서 제출</v>
      </c>
      <c r="D84" s="35" t="s">
        <v>52</v>
      </c>
      <c r="E84" s="36">
        <v>46318.0</v>
      </c>
      <c r="F84" s="36">
        <v>46318.0</v>
      </c>
      <c r="G84" s="38">
        <f t="shared" ref="G84:G104" si="8">IF(OR(E84="",F84=""),"",IF(F84&lt;E84,"기간 확인",COUNTIFS($I$10:$AV$10,"&gt;="&amp;E84,$I$10:$AV$10,"&lt;="&amp;F84)))</f>
        <v>1</v>
      </c>
      <c r="H84" s="31">
        <f t="shared" si="3"/>
        <v>0</v>
      </c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</row>
    <row r="85" ht="33.0" customHeight="1">
      <c r="A85" s="48"/>
      <c r="B85" s="33" t="s">
        <v>492</v>
      </c>
      <c r="C85" s="34" t="str">
        <f>'작업 상세'!C77</f>
        <v>WBS 제출</v>
      </c>
      <c r="D85" s="35" t="s">
        <v>52</v>
      </c>
      <c r="E85" s="36">
        <v>46318.0</v>
      </c>
      <c r="F85" s="36">
        <v>46318.0</v>
      </c>
      <c r="G85" s="38">
        <f t="shared" si="8"/>
        <v>1</v>
      </c>
      <c r="H85" s="31">
        <f t="shared" si="3"/>
        <v>0</v>
      </c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</row>
    <row r="86" ht="33.0" customHeight="1">
      <c r="A86" s="48"/>
      <c r="B86" s="33" t="s">
        <v>496</v>
      </c>
      <c r="C86" s="34" t="str">
        <f>'작업 상세'!C78</f>
        <v>프로젝트 기획서 제출</v>
      </c>
      <c r="D86" s="35" t="s">
        <v>52</v>
      </c>
      <c r="E86" s="36">
        <v>46318.0</v>
      </c>
      <c r="F86" s="36">
        <v>46318.0</v>
      </c>
      <c r="G86" s="38">
        <f t="shared" si="8"/>
        <v>1</v>
      </c>
      <c r="H86" s="31">
        <f t="shared" si="3"/>
        <v>0</v>
      </c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</row>
    <row r="87" ht="33.0" customHeight="1">
      <c r="A87" s="48"/>
      <c r="B87" s="33" t="s">
        <v>500</v>
      </c>
      <c r="C87" s="34" t="str">
        <f>'작업 상세'!C79</f>
        <v>수집 데이터 보고서 제출</v>
      </c>
      <c r="D87" s="35" t="s">
        <v>288</v>
      </c>
      <c r="E87" s="36">
        <v>46318.0</v>
      </c>
      <c r="F87" s="36">
        <v>46318.0</v>
      </c>
      <c r="G87" s="38">
        <f t="shared" si="8"/>
        <v>1</v>
      </c>
      <c r="H87" s="31">
        <f t="shared" si="3"/>
        <v>0</v>
      </c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</row>
    <row r="88" ht="33.0" customHeight="1">
      <c r="A88" s="48"/>
      <c r="B88" s="33" t="s">
        <v>504</v>
      </c>
      <c r="C88" s="34" t="str">
        <f>'작업 상세'!C80</f>
        <v>AI 시스템 아키텍처 제출</v>
      </c>
      <c r="D88" s="35" t="s">
        <v>311</v>
      </c>
      <c r="E88" s="36">
        <v>46325.0</v>
      </c>
      <c r="F88" s="36">
        <v>46325.0</v>
      </c>
      <c r="G88" s="38">
        <f t="shared" si="8"/>
        <v>1</v>
      </c>
      <c r="H88" s="31">
        <f t="shared" si="3"/>
        <v>0</v>
      </c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</row>
    <row r="89" ht="33.0" customHeight="1">
      <c r="A89" s="48"/>
      <c r="B89" s="33" t="s">
        <v>508</v>
      </c>
      <c r="C89" s="34" t="str">
        <f>'작업 상세'!C81</f>
        <v>화면설계서 제출</v>
      </c>
      <c r="D89" s="35" t="s">
        <v>355</v>
      </c>
      <c r="E89" s="36">
        <v>46325.0</v>
      </c>
      <c r="F89" s="36">
        <v>46325.0</v>
      </c>
      <c r="G89" s="38">
        <f t="shared" si="8"/>
        <v>1</v>
      </c>
      <c r="H89" s="31">
        <f t="shared" si="3"/>
        <v>0</v>
      </c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</row>
    <row r="90" ht="33.0" customHeight="1">
      <c r="A90" s="48"/>
      <c r="B90" s="33" t="s">
        <v>513</v>
      </c>
      <c r="C90" s="34" t="str">
        <f>'작업 상세'!C82</f>
        <v>시스템 구성도 제출</v>
      </c>
      <c r="D90" s="35" t="s">
        <v>288</v>
      </c>
      <c r="E90" s="36">
        <v>46325.0</v>
      </c>
      <c r="F90" s="36">
        <v>46325.0</v>
      </c>
      <c r="G90" s="38">
        <f t="shared" si="8"/>
        <v>1</v>
      </c>
      <c r="H90" s="31">
        <f t="shared" si="3"/>
        <v>0</v>
      </c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</row>
    <row r="91" ht="33.0" customHeight="1">
      <c r="A91" s="48"/>
      <c r="B91" s="33" t="s">
        <v>517</v>
      </c>
      <c r="C91" s="34" t="str">
        <f>'작업 상세'!C83</f>
        <v>DB/저장소 설계 문서 제출</v>
      </c>
      <c r="D91" s="35" t="s">
        <v>303</v>
      </c>
      <c r="E91" s="36">
        <v>46332.0</v>
      </c>
      <c r="F91" s="36">
        <v>46332.0</v>
      </c>
      <c r="G91" s="38">
        <f t="shared" si="8"/>
        <v>1</v>
      </c>
      <c r="H91" s="31">
        <f t="shared" si="3"/>
        <v>0</v>
      </c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</row>
    <row r="92" ht="33.0" customHeight="1">
      <c r="A92" s="48"/>
      <c r="B92" s="33" t="s">
        <v>521</v>
      </c>
      <c r="C92" s="34" t="str">
        <f>'작업 상세'!C84</f>
        <v>데이터 전처리 결과서 제출</v>
      </c>
      <c r="D92" s="35" t="s">
        <v>314</v>
      </c>
      <c r="E92" s="36">
        <v>46332.0</v>
      </c>
      <c r="F92" s="36">
        <v>46332.0</v>
      </c>
      <c r="G92" s="38">
        <f t="shared" si="8"/>
        <v>1</v>
      </c>
      <c r="H92" s="31">
        <f t="shared" si="3"/>
        <v>0</v>
      </c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</row>
    <row r="93" ht="33.0" customHeight="1">
      <c r="A93" s="48"/>
      <c r="B93" s="33" t="s">
        <v>525</v>
      </c>
      <c r="C93" s="34" t="str">
        <f>'작업 상세'!C85</f>
        <v>중간 발표자료 작성·제출·발표</v>
      </c>
      <c r="D93" s="35" t="s">
        <v>52</v>
      </c>
      <c r="E93" s="36">
        <v>46330.0</v>
      </c>
      <c r="F93" s="36">
        <v>46332.0</v>
      </c>
      <c r="G93" s="38">
        <f t="shared" si="8"/>
        <v>3</v>
      </c>
      <c r="H93" s="31">
        <f t="shared" si="3"/>
        <v>0</v>
      </c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</row>
    <row r="94" ht="33.0" customHeight="1">
      <c r="A94" s="48"/>
      <c r="B94" s="33" t="s">
        <v>530</v>
      </c>
      <c r="C94" s="34" t="str">
        <f>'작업 상세'!C86</f>
        <v>ML/DL 학습결과서 제출</v>
      </c>
      <c r="D94" s="35" t="s">
        <v>314</v>
      </c>
      <c r="E94" s="36">
        <v>46339.0</v>
      </c>
      <c r="F94" s="36">
        <v>46339.0</v>
      </c>
      <c r="G94" s="38">
        <f t="shared" si="8"/>
        <v>1</v>
      </c>
      <c r="H94" s="31">
        <f t="shared" si="3"/>
        <v>0</v>
      </c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</row>
    <row r="95" ht="33.0" customHeight="1">
      <c r="A95" s="48"/>
      <c r="B95" s="33" t="s">
        <v>534</v>
      </c>
      <c r="C95" s="34" t="str">
        <f>'작업 상세'!C87</f>
        <v>학습한 ML/DL 모델 제출</v>
      </c>
      <c r="D95" s="35" t="s">
        <v>314</v>
      </c>
      <c r="E95" s="36">
        <v>46339.0</v>
      </c>
      <c r="F95" s="36">
        <v>46339.0</v>
      </c>
      <c r="G95" s="38">
        <f t="shared" si="8"/>
        <v>1</v>
      </c>
      <c r="H95" s="31">
        <f t="shared" si="3"/>
        <v>0</v>
      </c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</row>
    <row r="96" ht="33.0" customHeight="1">
      <c r="A96" s="48"/>
      <c r="B96" s="33" t="s">
        <v>538</v>
      </c>
      <c r="C96" s="34" t="str">
        <f>'작업 상세'!C88</f>
        <v>검색 저장소 구축 결과서 제출</v>
      </c>
      <c r="D96" s="35" t="s">
        <v>311</v>
      </c>
      <c r="E96" s="36">
        <v>46339.0</v>
      </c>
      <c r="F96" s="36">
        <v>46339.0</v>
      </c>
      <c r="G96" s="38">
        <f t="shared" si="8"/>
        <v>1</v>
      </c>
      <c r="H96" s="31">
        <f t="shared" si="3"/>
        <v>0</v>
      </c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</row>
    <row r="97" ht="33.0" customHeight="1">
      <c r="A97" s="48"/>
      <c r="B97" s="33" t="s">
        <v>542</v>
      </c>
      <c r="C97" s="34" t="str">
        <f>'작업 상세'!C89</f>
        <v>LLM 활용 소프트웨어 제출</v>
      </c>
      <c r="D97" s="35" t="s">
        <v>311</v>
      </c>
      <c r="E97" s="36">
        <v>46346.0</v>
      </c>
      <c r="F97" s="36">
        <v>46346.0</v>
      </c>
      <c r="G97" s="38">
        <f t="shared" si="8"/>
        <v>1</v>
      </c>
      <c r="H97" s="31">
        <f t="shared" si="3"/>
        <v>0</v>
      </c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</row>
    <row r="98" ht="33.0" customHeight="1">
      <c r="A98" s="48"/>
      <c r="B98" s="33" t="s">
        <v>547</v>
      </c>
      <c r="C98" s="34" t="str">
        <f>'작업 상세'!C90</f>
        <v>자체 sLLM 산출물 제출</v>
      </c>
      <c r="D98" s="35" t="s">
        <v>314</v>
      </c>
      <c r="E98" s="36">
        <v>46346.0</v>
      </c>
      <c r="F98" s="36">
        <v>46346.0</v>
      </c>
      <c r="G98" s="38">
        <f t="shared" si="8"/>
        <v>1</v>
      </c>
      <c r="H98" s="31">
        <f t="shared" si="3"/>
        <v>0</v>
      </c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</row>
    <row r="99" ht="33.0" customHeight="1">
      <c r="A99" s="48"/>
      <c r="B99" s="33" t="s">
        <v>551</v>
      </c>
      <c r="C99" s="34" t="str">
        <f>'작업 상세'!C91</f>
        <v>에이전트 테스트 보고서 제출</v>
      </c>
      <c r="D99" s="35" t="s">
        <v>311</v>
      </c>
      <c r="E99" s="36">
        <v>46353.0</v>
      </c>
      <c r="F99" s="36">
        <v>46353.0</v>
      </c>
      <c r="G99" s="38">
        <f t="shared" si="8"/>
        <v>1</v>
      </c>
      <c r="H99" s="31">
        <f t="shared" si="3"/>
        <v>0</v>
      </c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</row>
    <row r="100" ht="33.0" customHeight="1">
      <c r="A100" s="48"/>
      <c r="B100" s="33" t="s">
        <v>555</v>
      </c>
      <c r="C100" s="34" t="str">
        <f>'작업 상세'!C92</f>
        <v>서비스 테스트 보고서 제출</v>
      </c>
      <c r="D100" s="35" t="s">
        <v>52</v>
      </c>
      <c r="E100" s="36">
        <v>46360.0</v>
      </c>
      <c r="F100" s="36">
        <v>46360.0</v>
      </c>
      <c r="G100" s="38">
        <f t="shared" si="8"/>
        <v>1</v>
      </c>
      <c r="H100" s="31">
        <f t="shared" si="3"/>
        <v>0</v>
      </c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</row>
    <row r="101" ht="33.0" customHeight="1">
      <c r="A101" s="48"/>
      <c r="B101" s="33" t="s">
        <v>559</v>
      </c>
      <c r="C101" s="34" t="str">
        <f>'작업 상세'!C93</f>
        <v>LLM 연동 웹 애플리케이션 제출</v>
      </c>
      <c r="D101" s="35" t="s">
        <v>303</v>
      </c>
      <c r="E101" s="36">
        <v>46364.0</v>
      </c>
      <c r="F101" s="36">
        <v>46364.0</v>
      </c>
      <c r="G101" s="38">
        <f t="shared" si="8"/>
        <v>1</v>
      </c>
      <c r="H101" s="31">
        <f t="shared" si="3"/>
        <v>0</v>
      </c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</row>
    <row r="102" ht="33.0" customHeight="1">
      <c r="A102" s="48"/>
      <c r="B102" s="33" t="s">
        <v>563</v>
      </c>
      <c r="C102" s="34" t="str">
        <f>'작업 상세'!C94</f>
        <v>최종 발표자료 확정·제출·발표</v>
      </c>
      <c r="D102" s="35" t="s">
        <v>52</v>
      </c>
      <c r="E102" s="36">
        <v>46363.0</v>
      </c>
      <c r="F102" s="36">
        <v>46364.0</v>
      </c>
      <c r="G102" s="38">
        <f t="shared" si="8"/>
        <v>2</v>
      </c>
      <c r="H102" s="31">
        <f t="shared" si="3"/>
        <v>0</v>
      </c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</row>
    <row r="103" ht="33.0" customHeight="1">
      <c r="A103" s="48"/>
      <c r="B103" s="33" t="s">
        <v>568</v>
      </c>
      <c r="C103" s="34" t="str">
        <f>'작업 상세'!C95</f>
        <v>프로젝트 개발 소스코드 제출</v>
      </c>
      <c r="D103" s="35" t="s">
        <v>303</v>
      </c>
      <c r="E103" s="36">
        <v>46364.0</v>
      </c>
      <c r="F103" s="36">
        <v>46364.0</v>
      </c>
      <c r="G103" s="38">
        <f t="shared" si="8"/>
        <v>1</v>
      </c>
      <c r="H103" s="31">
        <f t="shared" si="3"/>
        <v>0</v>
      </c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</row>
    <row r="104" ht="33.0" customHeight="1">
      <c r="A104" s="48"/>
      <c r="B104" s="33" t="s">
        <v>572</v>
      </c>
      <c r="C104" s="34" t="str">
        <f>'작업 상세'!C96</f>
        <v>시연영상 촬영·확정·제출</v>
      </c>
      <c r="D104" s="35" t="s">
        <v>52</v>
      </c>
      <c r="E104" s="36">
        <v>46363.0</v>
      </c>
      <c r="F104" s="36">
        <v>46364.0</v>
      </c>
      <c r="G104" s="38">
        <f t="shared" si="8"/>
        <v>2</v>
      </c>
      <c r="H104" s="31">
        <f t="shared" si="3"/>
        <v>0</v>
      </c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</row>
    <row r="105" ht="15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</row>
    <row r="106" ht="15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</row>
    <row r="107" ht="15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</row>
    <row r="108" ht="15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</row>
    <row r="109" ht="15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</row>
    <row r="110" ht="15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</row>
    <row r="111" ht="15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</row>
    <row r="112" ht="15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</row>
    <row r="113" ht="15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</row>
    <row r="114" ht="15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</row>
    <row r="115" ht="15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</row>
    <row r="116" ht="15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</row>
    <row r="117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</row>
    <row r="118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</row>
    <row r="119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</row>
    <row r="120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</row>
    <row r="121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</row>
    <row r="122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</row>
    <row r="123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</row>
    <row r="124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</row>
    <row r="125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</row>
    <row r="126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</row>
    <row r="127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</row>
    <row r="128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</row>
    <row r="129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</row>
    <row r="130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</row>
    <row r="131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</row>
    <row r="132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</row>
    <row r="133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</row>
    <row r="134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</row>
    <row r="135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</row>
    <row r="136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</row>
    <row r="137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</row>
    <row r="138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</row>
    <row r="139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</row>
    <row r="140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</row>
    <row r="141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</row>
    <row r="142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</row>
    <row r="1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</row>
    <row r="144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</row>
    <row r="145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</row>
    <row r="146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</row>
    <row r="147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</row>
    <row r="148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</row>
    <row r="149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</row>
    <row r="150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</row>
    <row r="151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</row>
    <row r="152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</row>
    <row r="15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</row>
    <row r="154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</row>
    <row r="155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</row>
    <row r="156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</row>
    <row r="157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</row>
    <row r="158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</row>
    <row r="159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</row>
    <row r="160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</row>
    <row r="161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</row>
    <row r="162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</row>
    <row r="16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</row>
    <row r="164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</row>
    <row r="165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</row>
    <row r="166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</row>
    <row r="167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</row>
    <row r="168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</row>
    <row r="169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</row>
    <row r="170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</row>
    <row r="171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</row>
    <row r="172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</row>
    <row r="17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</row>
    <row r="174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</row>
    <row r="17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</row>
    <row r="176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</row>
    <row r="177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</row>
    <row r="178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</row>
    <row r="179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</row>
    <row r="180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</row>
    <row r="181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</row>
    <row r="182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</row>
    <row r="18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</row>
    <row r="184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</row>
    <row r="18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</row>
    <row r="186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</row>
    <row r="187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</row>
    <row r="188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</row>
    <row r="189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</row>
    <row r="190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</row>
    <row r="191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</row>
    <row r="192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</row>
    <row r="19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</row>
    <row r="194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</row>
    <row r="19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</row>
    <row r="196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</row>
    <row r="197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</row>
    <row r="198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</row>
    <row r="199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</row>
    <row r="200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</row>
    <row r="201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</row>
    <row r="202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</row>
    <row r="20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</row>
    <row r="204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</row>
    <row r="20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</row>
    <row r="206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</row>
    <row r="207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</row>
    <row r="208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</row>
    <row r="209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</row>
    <row r="210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</row>
    <row r="211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</row>
    <row r="212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</row>
    <row r="21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</row>
    <row r="214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</row>
    <row r="21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</row>
    <row r="216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</row>
    <row r="217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</row>
    <row r="218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</row>
    <row r="221" ht="15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</row>
    <row r="222" ht="15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</row>
    <row r="223" ht="15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</row>
    <row r="224" ht="15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</row>
    <row r="225" ht="15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</row>
    <row r="226" ht="15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</row>
    <row r="227" ht="15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</row>
    <row r="228" ht="15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</row>
    <row r="229" ht="15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</row>
    <row r="230" ht="15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2:G2"/>
    <mergeCell ref="I2:AV2"/>
    <mergeCell ref="D4:G4"/>
    <mergeCell ref="I4:O4"/>
    <mergeCell ref="P4:V4"/>
    <mergeCell ref="X4:AD4"/>
    <mergeCell ref="AE4:AK4"/>
    <mergeCell ref="B4:C4"/>
    <mergeCell ref="B5:C5"/>
    <mergeCell ref="D5:G5"/>
    <mergeCell ref="I5:O5"/>
    <mergeCell ref="P5:V5"/>
    <mergeCell ref="X5:AD5"/>
    <mergeCell ref="AE5:AK5"/>
    <mergeCell ref="B6:H6"/>
    <mergeCell ref="I6:AV6"/>
    <mergeCell ref="B8:H8"/>
    <mergeCell ref="I8:U8"/>
    <mergeCell ref="V8:AE8"/>
    <mergeCell ref="AF8:AO8"/>
    <mergeCell ref="AP8:AV8"/>
    <mergeCell ref="AP9:AT9"/>
    <mergeCell ref="AU9:AV9"/>
    <mergeCell ref="B9:H9"/>
    <mergeCell ref="I9:P9"/>
    <mergeCell ref="Q9:U9"/>
    <mergeCell ref="V9:Z9"/>
    <mergeCell ref="AA9:AE9"/>
    <mergeCell ref="AF9:AJ9"/>
    <mergeCell ref="AK9:AO9"/>
  </mergeCells>
  <conditionalFormatting sqref="I11:AV104">
    <cfRule type="expression" dxfId="0" priority="1">
      <formula>AND(ISNUMBER($H11),$H11&gt;0,I$10&gt;=$E11,I$10&lt;=$F11,COUNTIFS($I$10:$AV$10,"&gt;="&amp;$E11,$I$10:$AV$10,"&lt;="&amp;I$10)&lt;=ROUNDUP($G11*$H11,0))</formula>
    </cfRule>
  </conditionalFormatting>
  <conditionalFormatting sqref="I11:AV104">
    <cfRule type="expression" dxfId="1" priority="2">
      <formula>I$10&gt;$AE$4</formula>
    </cfRule>
  </conditionalFormatting>
  <conditionalFormatting sqref="I11:AV23">
    <cfRule type="expression" dxfId="2" priority="3">
      <formula>AND(I$10&gt;=$E11,I$10&lt;=$F11,I$10&lt;=$AE$4)</formula>
    </cfRule>
  </conditionalFormatting>
  <conditionalFormatting sqref="I24:AV33">
    <cfRule type="expression" dxfId="3" priority="4">
      <formula>AND(I$10&gt;=$E24,I$10&lt;=$F24,I$10&lt;=$AE$4)</formula>
    </cfRule>
  </conditionalFormatting>
  <conditionalFormatting sqref="I34:AV70">
    <cfRule type="expression" dxfId="4" priority="5">
      <formula>AND(I$10&gt;=$E34,I$10&lt;=$F34,I$10&lt;=$AE$4)</formula>
    </cfRule>
  </conditionalFormatting>
  <conditionalFormatting sqref="I71:AV82">
    <cfRule type="expression" dxfId="5" priority="6">
      <formula>AND(I$10&gt;=$E71,I$10&lt;=$F71,I$10&lt;=$AE$4)</formula>
    </cfRule>
  </conditionalFormatting>
  <conditionalFormatting sqref="I83:AV104">
    <cfRule type="expression" dxfId="6" priority="7">
      <formula>AND(I$10&gt;=$E83,I$10&lt;=$F83,I$10&lt;=$AE$4)</formula>
    </cfRule>
  </conditionalFormatting>
  <conditionalFormatting sqref="I10:AV10">
    <cfRule type="expression" dxfId="7" priority="8">
      <formula>WEEKDAY(I$10,2)&gt;5</formula>
    </cfRule>
  </conditionalFormatting>
  <conditionalFormatting sqref="E11:F104">
    <cfRule type="expression" dxfId="8" priority="9">
      <formula>AND(ISNUMBER($E11),ISNUMBER($F11),OR($F11&lt;$E11,$E11&lt;$P$4,$F11&gt;$AE$4))</formula>
    </cfRule>
  </conditionalFormatting>
  <conditionalFormatting sqref="H11:H104">
    <cfRule type="expression" dxfId="8" priority="10">
      <formula>AND(ISNUMBER(H11),OR(H11&lt;0,H11&gt;1))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0"/>
  <cols>
    <col customWidth="1" min="1" max="1" width="12.5"/>
    <col customWidth="1" min="2" max="2" width="18.13"/>
    <col customWidth="1" min="3" max="3" width="30.63"/>
    <col customWidth="1" min="4" max="4" width="27.5"/>
    <col customWidth="1" min="5" max="5" width="25.0"/>
    <col customWidth="1" min="6" max="6" width="41.25"/>
    <col customWidth="1" min="7" max="7" width="30.0"/>
    <col customWidth="1" min="8" max="9" width="45.63"/>
    <col customWidth="1" min="10" max="26" width="8.63"/>
  </cols>
  <sheetData>
    <row r="1" ht="24.0" customHeight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8.0" customHeight="1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18.0" customHeight="1">
      <c r="A3" s="3" t="s">
        <v>2</v>
      </c>
      <c r="B3" s="3"/>
      <c r="C3" s="3"/>
      <c r="D3" s="3"/>
      <c r="E3" s="3"/>
      <c r="F3" s="3"/>
      <c r="G3" s="3"/>
      <c r="H3" s="3"/>
      <c r="I3" s="3"/>
    </row>
    <row r="4" ht="18.0" customHeight="1">
      <c r="A4" s="3" t="s">
        <v>3</v>
      </c>
      <c r="B4" s="3"/>
      <c r="C4" s="3"/>
      <c r="D4" s="3"/>
      <c r="E4" s="3"/>
      <c r="F4" s="3"/>
      <c r="G4" s="3"/>
      <c r="H4" s="3"/>
      <c r="I4" s="3"/>
    </row>
    <row r="5" ht="18.0" customHeight="1">
      <c r="A5" s="3" t="s">
        <v>4</v>
      </c>
      <c r="B5" s="3"/>
      <c r="C5" s="3"/>
      <c r="D5" s="3"/>
      <c r="E5" s="3"/>
      <c r="F5" s="3"/>
      <c r="G5" s="3"/>
      <c r="H5" s="3"/>
      <c r="I5" s="3"/>
    </row>
    <row r="6" ht="18.0" customHeight="1">
      <c r="A6" s="3" t="s">
        <v>5</v>
      </c>
      <c r="B6" s="3"/>
      <c r="C6" s="3"/>
      <c r="D6" s="3"/>
      <c r="E6" s="3"/>
      <c r="F6" s="3"/>
      <c r="G6" s="3"/>
      <c r="H6" s="3"/>
      <c r="I6" s="3"/>
    </row>
    <row r="7" ht="25.5" customHeight="1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</row>
    <row r="8" ht="82.5" customHeight="1">
      <c r="A8" s="5" t="s">
        <v>15</v>
      </c>
      <c r="B8" s="6" t="s">
        <v>16</v>
      </c>
      <c r="C8" s="7" t="s">
        <v>17</v>
      </c>
      <c r="D8" s="7" t="str">
        <f>'시트1'!D12&amp;CHAR(10)&amp;"협업: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8" s="7" t="s">
        <v>23</v>
      </c>
      <c r="F8" s="7" t="s">
        <v>24</v>
      </c>
      <c r="G8" s="7" t="s">
        <v>25</v>
      </c>
      <c r="H8" s="7" t="s">
        <v>26</v>
      </c>
      <c r="I8" s="7" t="s">
        <v>27</v>
      </c>
    </row>
    <row r="9" ht="82.5" customHeight="1">
      <c r="A9" s="5" t="s">
        <v>28</v>
      </c>
      <c r="B9" s="6" t="s">
        <v>16</v>
      </c>
      <c r="C9" s="7" t="s">
        <v>29</v>
      </c>
      <c r="D9" s="7" t="str">
        <f>'시트1'!D13&amp;CHAR(10)&amp;"협업: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9" s="7" t="s">
        <v>15</v>
      </c>
      <c r="F9" s="7" t="s">
        <v>24</v>
      </c>
      <c r="G9" s="7" t="s">
        <v>32</v>
      </c>
      <c r="H9" s="7" t="s">
        <v>33</v>
      </c>
      <c r="I9" s="7" t="s">
        <v>34</v>
      </c>
    </row>
    <row r="10" ht="82.5" customHeight="1">
      <c r="A10" s="5" t="s">
        <v>35</v>
      </c>
      <c r="B10" s="6" t="s">
        <v>16</v>
      </c>
      <c r="C10" s="7" t="s">
        <v>36</v>
      </c>
      <c r="D10" s="7" t="str">
        <f>'시트1'!D14&amp;CHAR(10)&amp;"협업: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10" s="7" t="s">
        <v>28</v>
      </c>
      <c r="F10" s="7" t="s">
        <v>24</v>
      </c>
      <c r="G10" s="7" t="s">
        <v>37</v>
      </c>
      <c r="H10" s="7" t="s">
        <v>38</v>
      </c>
      <c r="I10" s="7" t="s">
        <v>39</v>
      </c>
    </row>
    <row r="11" ht="82.5" customHeight="1">
      <c r="A11" s="5" t="s">
        <v>40</v>
      </c>
      <c r="B11" s="6" t="s">
        <v>16</v>
      </c>
      <c r="C11" s="7" t="s">
        <v>41</v>
      </c>
      <c r="D11" s="7" t="str">
        <f>'시트1'!D15&amp;CHAR(10)&amp;"협업: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11" s="7" t="s">
        <v>23</v>
      </c>
      <c r="F11" s="7" t="s">
        <v>24</v>
      </c>
      <c r="G11" s="7" t="s">
        <v>42</v>
      </c>
      <c r="H11" s="7" t="s">
        <v>43</v>
      </c>
      <c r="I11" s="7" t="s">
        <v>44</v>
      </c>
    </row>
    <row r="12" ht="82.5" customHeight="1">
      <c r="A12" s="5" t="s">
        <v>45</v>
      </c>
      <c r="B12" s="6" t="s">
        <v>16</v>
      </c>
      <c r="C12" s="7" t="s">
        <v>46</v>
      </c>
      <c r="D12" s="7" t="str">
        <f>'시트1'!D16&amp;CHAR(10)&amp;"협업: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12" s="7" t="s">
        <v>23</v>
      </c>
      <c r="F12" s="7" t="s">
        <v>24</v>
      </c>
      <c r="G12" s="7" t="s">
        <v>47</v>
      </c>
      <c r="H12" s="7" t="s">
        <v>48</v>
      </c>
      <c r="I12" s="7" t="s">
        <v>49</v>
      </c>
    </row>
    <row r="13" ht="69.0" customHeight="1">
      <c r="A13" s="5" t="s">
        <v>50</v>
      </c>
      <c r="B13" s="6" t="s">
        <v>16</v>
      </c>
      <c r="C13" s="7" t="s">
        <v>51</v>
      </c>
      <c r="D13" s="7" t="str">
        <f>'시트1'!D17&amp;CHAR(10)&amp;"협업: 김재현, 최성욱"&amp;CHAR(10)&amp;"전반 관리: 김태윤(PM), 김동섭(APM)"</f>
        <v>김동섭
협업: 김재현, 최성욱
전반 관리: 김태윤(PM), 김동섭(APM)</v>
      </c>
      <c r="E13" s="7" t="s">
        <v>23</v>
      </c>
      <c r="F13" s="7" t="s">
        <v>24</v>
      </c>
      <c r="G13" s="7" t="s">
        <v>55</v>
      </c>
      <c r="H13" s="7" t="s">
        <v>56</v>
      </c>
      <c r="I13" s="7" t="s">
        <v>57</v>
      </c>
    </row>
    <row r="14" ht="420.0" customHeight="1">
      <c r="A14" s="5" t="s">
        <v>58</v>
      </c>
      <c r="B14" s="6" t="s">
        <v>16</v>
      </c>
      <c r="C14" s="7" t="s">
        <v>59</v>
      </c>
      <c r="D14" s="7" t="str">
        <f>'시트1'!D18&amp;CHAR(10)&amp;"협업: 최성욱, 김동섭"&amp;CHAR(10)&amp;"전반 관리: 김태윤(PM), 김동섭(APM)"</f>
        <v>김태윤
협업: 최성욱, 김동섭
전반 관리: 김태윤(PM), 김동섭(APM)</v>
      </c>
      <c r="E14" s="7" t="s">
        <v>60</v>
      </c>
      <c r="F14" s="7" t="s">
        <v>61</v>
      </c>
      <c r="G14" s="7" t="s">
        <v>62</v>
      </c>
      <c r="H14" s="7" t="s">
        <v>63</v>
      </c>
      <c r="I14" s="7" t="s">
        <v>64</v>
      </c>
    </row>
    <row r="15" ht="69.0" customHeight="1">
      <c r="A15" s="5" t="s">
        <v>65</v>
      </c>
      <c r="B15" s="6" t="s">
        <v>16</v>
      </c>
      <c r="C15" s="7" t="s">
        <v>66</v>
      </c>
      <c r="D15" s="7" t="str">
        <f>'시트1'!D19&amp;CHAR(10)&amp;"협업: 김태윤, 최성욱"&amp;CHAR(10)&amp;"전반 관리: 김태윤(PM), 김동섭(APM)"</f>
        <v>최인영
협업: 김태윤, 최성욱
전반 관리: 김태윤(PM), 김동섭(APM)</v>
      </c>
      <c r="E15" s="7" t="s">
        <v>58</v>
      </c>
      <c r="F15" s="7" t="s">
        <v>69</v>
      </c>
      <c r="G15" s="7" t="s">
        <v>70</v>
      </c>
      <c r="H15" s="7" t="s">
        <v>71</v>
      </c>
      <c r="I15" s="7" t="s">
        <v>72</v>
      </c>
    </row>
    <row r="16" ht="96.0" customHeight="1">
      <c r="A16" s="5" t="s">
        <v>73</v>
      </c>
      <c r="B16" s="6" t="s">
        <v>16</v>
      </c>
      <c r="C16" s="7" t="s">
        <v>74</v>
      </c>
      <c r="D16" s="7" t="str">
        <f>'시트1'!D20&amp;CHAR(10)&amp;"협업: 김동섭, 김태윤, 김재현"&amp;CHAR(10)&amp;"전반 관리: 김태윤(PM), 김동섭(APM)"</f>
        <v>최성욱
협업: 김동섭, 김태윤, 김재현
전반 관리: 김태윤(PM), 김동섭(APM)</v>
      </c>
      <c r="E16" s="7" t="s">
        <v>58</v>
      </c>
      <c r="F16" s="7" t="s">
        <v>78</v>
      </c>
      <c r="G16" s="7" t="s">
        <v>80</v>
      </c>
      <c r="H16" s="7" t="s">
        <v>81</v>
      </c>
      <c r="I16" s="7" t="s">
        <v>82</v>
      </c>
    </row>
    <row r="17" ht="96.0" customHeight="1">
      <c r="A17" s="5" t="s">
        <v>85</v>
      </c>
      <c r="B17" s="6" t="s">
        <v>16</v>
      </c>
      <c r="C17" s="7" t="s">
        <v>86</v>
      </c>
      <c r="D17" s="7" t="str">
        <f>'시트1'!D21&amp;CHAR(10)&amp;"협업: 황수빈, 김동섭, 최성욱"&amp;CHAR(10)&amp;"전반 관리: 김태윤(PM), 김동섭(APM)"</f>
        <v>김재현
협업: 황수빈, 김동섭, 최성욱
전반 관리: 김태윤(PM), 김동섭(APM)</v>
      </c>
      <c r="E17" s="7" t="s">
        <v>87</v>
      </c>
      <c r="F17" s="7" t="s">
        <v>88</v>
      </c>
      <c r="G17" s="7" t="s">
        <v>89</v>
      </c>
      <c r="H17" s="7" t="s">
        <v>90</v>
      </c>
      <c r="I17" s="7" t="s">
        <v>91</v>
      </c>
    </row>
    <row r="18" ht="109.5" customHeight="1">
      <c r="A18" s="5" t="s">
        <v>92</v>
      </c>
      <c r="B18" s="6" t="s">
        <v>16</v>
      </c>
      <c r="C18" s="7" t="s">
        <v>93</v>
      </c>
      <c r="D18" s="7" t="str">
        <f>'시트1'!D22&amp;CHAR(10)&amp;"협업: 김동섭, 최인영, 최성욱"&amp;CHAR(10)&amp;"전반 관리: 김태윤(PM), 김동섭(APM)"</f>
        <v>김태윤
협업: 김동섭, 최인영, 최성욱
전반 관리: 김태윤(PM), 김동섭(APM)</v>
      </c>
      <c r="E18" s="7" t="s">
        <v>58</v>
      </c>
      <c r="F18" s="7" t="s">
        <v>94</v>
      </c>
      <c r="G18" s="7" t="s">
        <v>95</v>
      </c>
      <c r="H18" s="7" t="s">
        <v>96</v>
      </c>
      <c r="I18" s="7" t="s">
        <v>97</v>
      </c>
    </row>
    <row r="19" ht="82.5" customHeight="1">
      <c r="A19" s="5" t="s">
        <v>98</v>
      </c>
      <c r="B19" s="6" t="s">
        <v>16</v>
      </c>
      <c r="C19" s="7" t="s">
        <v>99</v>
      </c>
      <c r="D19" s="7" t="str">
        <f>'시트1'!D23&amp;CHAR(10)&amp;"협업: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19" s="7" t="s">
        <v>100</v>
      </c>
      <c r="F19" s="7" t="s">
        <v>24</v>
      </c>
      <c r="G19" s="7" t="s">
        <v>101</v>
      </c>
      <c r="H19" s="7" t="s">
        <v>102</v>
      </c>
      <c r="I19" s="7" t="s">
        <v>103</v>
      </c>
    </row>
    <row r="20" ht="82.5" customHeight="1">
      <c r="A20" s="5" t="s">
        <v>104</v>
      </c>
      <c r="B20" s="6" t="s">
        <v>105</v>
      </c>
      <c r="C20" s="7" t="s">
        <v>106</v>
      </c>
      <c r="D20" s="7" t="str">
        <f>'시트1'!D25&amp;CHAR(10)&amp;"협업: 김태윤, 최인영, 최성욱"&amp;CHAR(10)&amp;"전반 관리: 김태윤(PM), 김동섭(APM)"</f>
        <v>황수빈
협업: 김태윤, 최인영, 최성욱
전반 관리: 김태윤(PM), 김동섭(APM)</v>
      </c>
      <c r="E20" s="7" t="s">
        <v>98</v>
      </c>
      <c r="F20" s="7" t="s">
        <v>107</v>
      </c>
      <c r="G20" s="7" t="s">
        <v>108</v>
      </c>
      <c r="H20" s="7" t="s">
        <v>109</v>
      </c>
      <c r="I20" s="7" t="s">
        <v>110</v>
      </c>
    </row>
    <row r="21" ht="69.0" customHeight="1">
      <c r="A21" s="5" t="s">
        <v>111</v>
      </c>
      <c r="B21" s="6" t="s">
        <v>105</v>
      </c>
      <c r="C21" s="7" t="s">
        <v>112</v>
      </c>
      <c r="D21" s="7" t="str">
        <f>'시트1'!D26&amp;CHAR(10)&amp;"협업: 최성욱, 김재현, 황수빈"&amp;CHAR(10)&amp;"전반 관리: 김태윤(PM), 김동섭(APM)"</f>
        <v>최인영
협업: 최성욱, 김재현, 황수빈
전반 관리: 김태윤(PM), 김동섭(APM)</v>
      </c>
      <c r="E21" s="7" t="s">
        <v>98</v>
      </c>
      <c r="F21" s="7" t="s">
        <v>24</v>
      </c>
      <c r="G21" s="7" t="s">
        <v>113</v>
      </c>
      <c r="H21" s="7" t="s">
        <v>114</v>
      </c>
      <c r="I21" s="7" t="s">
        <v>115</v>
      </c>
    </row>
    <row r="22" ht="69.0" customHeight="1">
      <c r="A22" s="5" t="s">
        <v>116</v>
      </c>
      <c r="B22" s="6" t="s">
        <v>105</v>
      </c>
      <c r="C22" s="7" t="s">
        <v>117</v>
      </c>
      <c r="D22" s="7" t="str">
        <f>'시트1'!D27&amp;CHAR(10)&amp;"협업: 최성욱"&amp;CHAR(10)&amp;"전반 관리: 김태윤(PM), 김동섭(APM)"</f>
        <v>최인영
협업: 최성욱
전반 관리: 김태윤(PM), 김동섭(APM)</v>
      </c>
      <c r="E22" s="7" t="s">
        <v>98</v>
      </c>
      <c r="F22" s="7" t="s">
        <v>118</v>
      </c>
      <c r="G22" s="7" t="s">
        <v>119</v>
      </c>
      <c r="H22" s="7" t="s">
        <v>120</v>
      </c>
      <c r="I22" s="7" t="s">
        <v>121</v>
      </c>
    </row>
    <row r="23" ht="69.0" customHeight="1">
      <c r="A23" s="5" t="s">
        <v>122</v>
      </c>
      <c r="B23" s="6" t="s">
        <v>105</v>
      </c>
      <c r="C23" s="7" t="s">
        <v>123</v>
      </c>
      <c r="D23" s="7" t="str">
        <f>'시트1'!D28&amp;CHAR(10)&amp;"협업: 최성욱, 황수빈"&amp;CHAR(10)&amp;"전반 관리: 김태윤(PM), 김동섭(APM)"</f>
        <v>김동섭
협업: 최성욱, 황수빈
전반 관리: 김태윤(PM), 김동섭(APM)</v>
      </c>
      <c r="E23" s="7" t="s">
        <v>124</v>
      </c>
      <c r="F23" s="7" t="s">
        <v>125</v>
      </c>
      <c r="G23" s="7" t="s">
        <v>126</v>
      </c>
      <c r="H23" s="7" t="s">
        <v>127</v>
      </c>
      <c r="I23" s="7" t="s">
        <v>128</v>
      </c>
    </row>
    <row r="24" ht="69.0" customHeight="1">
      <c r="A24" s="5" t="s">
        <v>129</v>
      </c>
      <c r="B24" s="6" t="s">
        <v>105</v>
      </c>
      <c r="C24" s="7" t="s">
        <v>130</v>
      </c>
      <c r="D24" s="7" t="str">
        <f>'시트1'!D29&amp;CHAR(10)&amp;"협업: 김동섭"&amp;CHAR(10)&amp;"전반 관리: 김태윤(PM), 김동섭(APM)"</f>
        <v>김재현
협업: 김동섭
전반 관리: 김태윤(PM), 김동섭(APM)</v>
      </c>
      <c r="E24" s="7" t="s">
        <v>131</v>
      </c>
      <c r="F24" s="7" t="s">
        <v>132</v>
      </c>
      <c r="G24" s="7" t="s">
        <v>133</v>
      </c>
      <c r="H24" s="7" t="s">
        <v>134</v>
      </c>
      <c r="I24" s="7" t="s">
        <v>135</v>
      </c>
    </row>
    <row r="25" ht="69.0" customHeight="1">
      <c r="A25" s="5" t="s">
        <v>136</v>
      </c>
      <c r="B25" s="6" t="s">
        <v>105</v>
      </c>
      <c r="C25" s="7" t="s">
        <v>137</v>
      </c>
      <c r="D25" s="7" t="str">
        <f>'시트1'!D30&amp;CHAR(10)&amp;"협업: 김태윤"&amp;CHAR(10)&amp;"전반 관리: 김태윤(PM), 김동섭(APM)"</f>
        <v>최인영
협업: 김태윤
전반 관리: 김태윤(PM), 김동섭(APM)</v>
      </c>
      <c r="E25" s="7" t="s">
        <v>138</v>
      </c>
      <c r="F25" s="7" t="s">
        <v>139</v>
      </c>
      <c r="G25" s="7" t="s">
        <v>140</v>
      </c>
      <c r="H25" s="7" t="s">
        <v>141</v>
      </c>
      <c r="I25" s="7" t="s">
        <v>142</v>
      </c>
    </row>
    <row r="26" ht="82.5" customHeight="1">
      <c r="A26" s="5" t="s">
        <v>143</v>
      </c>
      <c r="B26" s="6" t="s">
        <v>105</v>
      </c>
      <c r="C26" s="7" t="s">
        <v>144</v>
      </c>
      <c r="D26" s="7" t="str">
        <f>'시트1'!D31&amp;CHAR(10)&amp;"협업: 김태윤, 최인영, 김재현, 최성욱"&amp;CHAR(10)&amp;"전반 관리: 김태윤(PM), 김동섭(APM)"</f>
        <v>김동섭
협업: 김태윤, 최인영, 김재현, 최성욱
전반 관리: 김태윤(PM), 김동섭(APM)</v>
      </c>
      <c r="E26" s="7" t="s">
        <v>92</v>
      </c>
      <c r="F26" s="7" t="s">
        <v>150</v>
      </c>
      <c r="G26" s="7" t="s">
        <v>151</v>
      </c>
      <c r="H26" s="7" t="s">
        <v>152</v>
      </c>
      <c r="I26" s="7" t="s">
        <v>153</v>
      </c>
    </row>
    <row r="27" ht="69.0" customHeight="1">
      <c r="A27" s="5" t="s">
        <v>154</v>
      </c>
      <c r="B27" s="6" t="s">
        <v>105</v>
      </c>
      <c r="C27" s="7" t="s">
        <v>155</v>
      </c>
      <c r="D27" s="7" t="str">
        <f>'시트1'!D32&amp;CHAR(10)&amp;"협업: 황수빈, 김태윤"&amp;CHAR(10)&amp;"전반 관리: 김태윤(PM), 김동섭(APM)"</f>
        <v>최인영
협업: 황수빈, 김태윤
전반 관리: 김태윤(PM), 김동섭(APM)</v>
      </c>
      <c r="E27" s="7" t="s">
        <v>156</v>
      </c>
      <c r="F27" s="7" t="s">
        <v>157</v>
      </c>
      <c r="G27" s="7" t="s">
        <v>158</v>
      </c>
      <c r="H27" s="7" t="s">
        <v>159</v>
      </c>
      <c r="I27" s="7" t="s">
        <v>160</v>
      </c>
    </row>
    <row r="28" ht="82.5" customHeight="1">
      <c r="A28" s="5" t="s">
        <v>161</v>
      </c>
      <c r="B28" s="6" t="s">
        <v>105</v>
      </c>
      <c r="C28" s="7" t="s">
        <v>162</v>
      </c>
      <c r="D28" s="7" t="str">
        <f>'시트1'!D33&amp;CHAR(10)&amp;"협업: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28" s="7" t="s">
        <v>163</v>
      </c>
      <c r="F28" s="7" t="s">
        <v>164</v>
      </c>
      <c r="G28" s="7" t="s">
        <v>165</v>
      </c>
      <c r="H28" s="7" t="s">
        <v>166</v>
      </c>
      <c r="I28" s="7" t="s">
        <v>167</v>
      </c>
    </row>
    <row r="29" ht="69.0" customHeight="1">
      <c r="A29" s="5" t="s">
        <v>168</v>
      </c>
      <c r="B29" s="6" t="s">
        <v>169</v>
      </c>
      <c r="C29" s="7" t="s">
        <v>170</v>
      </c>
      <c r="D29" s="7" t="str">
        <f>'시트1'!D35&amp;CHAR(10)&amp;"협업: 김동섭"&amp;CHAR(10)&amp;"전반 관리: 김태윤(PM), 김동섭(APM)"</f>
        <v>최인영
협업: 김동섭
전반 관리: 김태윤(PM), 김동섭(APM)</v>
      </c>
      <c r="E29" s="7" t="s">
        <v>171</v>
      </c>
      <c r="F29" s="7" t="s">
        <v>172</v>
      </c>
      <c r="G29" s="7" t="s">
        <v>173</v>
      </c>
      <c r="H29" s="7" t="s">
        <v>174</v>
      </c>
      <c r="I29" s="7" t="s">
        <v>175</v>
      </c>
    </row>
    <row r="30" ht="69.0" customHeight="1">
      <c r="A30" s="5" t="s">
        <v>176</v>
      </c>
      <c r="B30" s="6" t="s">
        <v>169</v>
      </c>
      <c r="C30" s="7" t="s">
        <v>177</v>
      </c>
      <c r="D30" s="7" t="str">
        <f>'시트1'!D36&amp;CHAR(10)&amp;"협업: 황수빈"&amp;CHAR(10)&amp;"전반 관리: 김태윤(PM), 김동섭(APM)"</f>
        <v>최인영
협업: 황수빈
전반 관리: 김태윤(PM), 김동섭(APM)</v>
      </c>
      <c r="E30" s="7" t="s">
        <v>178</v>
      </c>
      <c r="F30" s="7" t="s">
        <v>179</v>
      </c>
      <c r="G30" s="7" t="s">
        <v>180</v>
      </c>
      <c r="H30" s="7" t="s">
        <v>181</v>
      </c>
      <c r="I30" s="7" t="s">
        <v>182</v>
      </c>
    </row>
    <row r="31" ht="69.0" customHeight="1">
      <c r="A31" s="5" t="s">
        <v>183</v>
      </c>
      <c r="B31" s="6" t="s">
        <v>169</v>
      </c>
      <c r="C31" s="7" t="s">
        <v>184</v>
      </c>
      <c r="D31" s="7" t="str">
        <f>'시트1'!D37&amp;CHAR(10)&amp;"협업: 황수빈"&amp;CHAR(10)&amp;"전반 관리: 김태윤(PM), 김동섭(APM)"</f>
        <v>최인영
협업: 황수빈
전반 관리: 김태윤(PM), 김동섭(APM)</v>
      </c>
      <c r="E31" s="7" t="s">
        <v>178</v>
      </c>
      <c r="F31" s="7" t="s">
        <v>185</v>
      </c>
      <c r="G31" s="7" t="s">
        <v>186</v>
      </c>
      <c r="H31" s="7" t="s">
        <v>187</v>
      </c>
      <c r="I31" s="7" t="s">
        <v>188</v>
      </c>
    </row>
    <row r="32" ht="69.0" customHeight="1">
      <c r="A32" s="5" t="s">
        <v>189</v>
      </c>
      <c r="B32" s="6" t="s">
        <v>169</v>
      </c>
      <c r="C32" s="7" t="s">
        <v>190</v>
      </c>
      <c r="D32" s="7" t="str">
        <f>'시트1'!D38&amp;CHAR(10)&amp;"협업: 황수빈"&amp;CHAR(10)&amp;"전반 관리: 김태윤(PM), 김동섭(APM)"</f>
        <v>최인영
협업: 황수빈
전반 관리: 김태윤(PM), 김동섭(APM)</v>
      </c>
      <c r="E32" s="7" t="s">
        <v>191</v>
      </c>
      <c r="F32" s="7" t="s">
        <v>192</v>
      </c>
      <c r="G32" s="7" t="s">
        <v>193</v>
      </c>
      <c r="H32" s="7" t="s">
        <v>194</v>
      </c>
      <c r="I32" s="7" t="s">
        <v>196</v>
      </c>
    </row>
    <row r="33" ht="69.0" customHeight="1">
      <c r="A33" s="5" t="s">
        <v>197</v>
      </c>
      <c r="B33" s="6" t="s">
        <v>169</v>
      </c>
      <c r="C33" s="7" t="s">
        <v>198</v>
      </c>
      <c r="D33" s="7" t="str">
        <f>'시트1'!D39&amp;CHAR(10)&amp;"협업: 최성욱, 황수빈"&amp;CHAR(10)&amp;"전반 관리: 김태윤(PM), 김동섭(APM)"</f>
        <v>김동섭
협업: 최성욱, 황수빈
전반 관리: 김태윤(PM), 김동섭(APM)</v>
      </c>
      <c r="E33" s="7" t="s">
        <v>122</v>
      </c>
      <c r="F33" s="7" t="s">
        <v>199</v>
      </c>
      <c r="G33" s="7" t="s">
        <v>200</v>
      </c>
      <c r="H33" s="7" t="s">
        <v>201</v>
      </c>
      <c r="I33" s="7" t="s">
        <v>202</v>
      </c>
    </row>
    <row r="34" ht="69.0" customHeight="1">
      <c r="A34" s="5" t="s">
        <v>203</v>
      </c>
      <c r="B34" s="6" t="s">
        <v>169</v>
      </c>
      <c r="C34" s="7" t="s">
        <v>204</v>
      </c>
      <c r="D34" s="7" t="str">
        <f>'시트1'!D40&amp;CHAR(10)&amp;"협업: 최인영, 김동섭"&amp;CHAR(10)&amp;"전반 관리: 김태윤(PM), 김동섭(APM)"</f>
        <v>황수빈
협업: 최인영, 김동섭
전반 관리: 김태윤(PM), 김동섭(APM)</v>
      </c>
      <c r="E34" s="7" t="s">
        <v>205</v>
      </c>
      <c r="F34" s="7" t="s">
        <v>206</v>
      </c>
      <c r="G34" s="7" t="s">
        <v>207</v>
      </c>
      <c r="H34" s="7" t="s">
        <v>208</v>
      </c>
      <c r="I34" s="7" t="s">
        <v>209</v>
      </c>
    </row>
    <row r="35" ht="69.0" customHeight="1">
      <c r="A35" s="5" t="s">
        <v>210</v>
      </c>
      <c r="B35" s="6" t="s">
        <v>169</v>
      </c>
      <c r="C35" s="7" t="s">
        <v>211</v>
      </c>
      <c r="D35" s="7" t="str">
        <f>'시트1'!D41&amp;CHAR(10)&amp;"협업: 최인영, 최성욱"&amp;CHAR(10)&amp;"전반 관리: 김태윤(PM), 김동섭(APM)"</f>
        <v>황수빈
협업: 최인영, 최성욱
전반 관리: 김태윤(PM), 김동섭(APM)</v>
      </c>
      <c r="E35" s="7" t="s">
        <v>212</v>
      </c>
      <c r="F35" s="7" t="s">
        <v>213</v>
      </c>
      <c r="G35" s="7" t="s">
        <v>214</v>
      </c>
      <c r="H35" s="7" t="s">
        <v>215</v>
      </c>
      <c r="I35" s="7" t="s">
        <v>216</v>
      </c>
    </row>
    <row r="36" ht="69.0" customHeight="1">
      <c r="A36" s="5" t="s">
        <v>217</v>
      </c>
      <c r="B36" s="6" t="s">
        <v>169</v>
      </c>
      <c r="C36" s="7" t="s">
        <v>218</v>
      </c>
      <c r="D36" s="7" t="str">
        <f>'시트1'!D42&amp;CHAR(10)&amp;"협업: 최성욱"&amp;CHAR(10)&amp;"전반 관리: 김태윤(PM), 김동섭(APM)"</f>
        <v>최인영
협업: 최성욱
전반 관리: 김태윤(PM), 김동섭(APM)</v>
      </c>
      <c r="E36" s="7" t="s">
        <v>219</v>
      </c>
      <c r="F36" s="7" t="s">
        <v>220</v>
      </c>
      <c r="G36" s="7" t="s">
        <v>221</v>
      </c>
      <c r="H36" s="7" t="s">
        <v>222</v>
      </c>
      <c r="I36" s="7" t="s">
        <v>223</v>
      </c>
    </row>
    <row r="37" ht="69.0" customHeight="1">
      <c r="A37" s="5" t="s">
        <v>224</v>
      </c>
      <c r="B37" s="6" t="s">
        <v>169</v>
      </c>
      <c r="C37" s="7" t="s">
        <v>225</v>
      </c>
      <c r="D37" s="7" t="str">
        <f>'시트1'!D43&amp;CHAR(10)&amp;"협업: 황수빈"&amp;CHAR(10)&amp;"전반 관리: 김태윤(PM), 김동섭(APM)"</f>
        <v>최인영
협업: 황수빈
전반 관리: 김태윤(PM), 김동섭(APM)</v>
      </c>
      <c r="E37" s="7" t="s">
        <v>226</v>
      </c>
      <c r="F37" s="7" t="s">
        <v>227</v>
      </c>
      <c r="G37" s="7" t="s">
        <v>228</v>
      </c>
      <c r="H37" s="7" t="s">
        <v>229</v>
      </c>
      <c r="I37" s="7" t="s">
        <v>230</v>
      </c>
    </row>
    <row r="38" ht="69.0" customHeight="1">
      <c r="A38" s="5" t="s">
        <v>231</v>
      </c>
      <c r="B38" s="6" t="s">
        <v>169</v>
      </c>
      <c r="C38" s="7" t="s">
        <v>232</v>
      </c>
      <c r="D38" s="7" t="str">
        <f>'시트1'!D44&amp;CHAR(10)&amp;"협업: 김재현, 김동섭"&amp;CHAR(10)&amp;"전반 관리: 김태윤(PM), 김동섭(APM)"</f>
        <v>최성욱
협업: 김재현, 김동섭
전반 관리: 김태윤(PM), 김동섭(APM)</v>
      </c>
      <c r="E38" s="7" t="s">
        <v>233</v>
      </c>
      <c r="F38" s="7" t="s">
        <v>234</v>
      </c>
      <c r="G38" s="7" t="s">
        <v>235</v>
      </c>
      <c r="H38" s="7" t="s">
        <v>236</v>
      </c>
      <c r="I38" s="7" t="s">
        <v>237</v>
      </c>
    </row>
    <row r="39" ht="69.0" customHeight="1">
      <c r="A39" s="5" t="s">
        <v>238</v>
      </c>
      <c r="B39" s="6" t="s">
        <v>169</v>
      </c>
      <c r="C39" s="7" t="s">
        <v>239</v>
      </c>
      <c r="D39" s="7" t="str">
        <f>'시트1'!D45&amp;CHAR(10)&amp;"협업: 황수빈, 최인영"&amp;CHAR(10)&amp;"전반 관리: 김태윤(PM), 김동섭(APM)"</f>
        <v>최성욱
협업: 황수빈, 최인영
전반 관리: 김태윤(PM), 김동섭(APM)</v>
      </c>
      <c r="E39" s="7" t="s">
        <v>240</v>
      </c>
      <c r="F39" s="7" t="s">
        <v>241</v>
      </c>
      <c r="G39" s="7" t="s">
        <v>242</v>
      </c>
      <c r="H39" s="7" t="s">
        <v>243</v>
      </c>
      <c r="I39" s="7" t="s">
        <v>244</v>
      </c>
    </row>
    <row r="40" ht="69.0" customHeight="1">
      <c r="A40" s="5" t="s">
        <v>245</v>
      </c>
      <c r="B40" s="6" t="s">
        <v>169</v>
      </c>
      <c r="C40" s="7" t="s">
        <v>246</v>
      </c>
      <c r="D40" s="7" t="str">
        <f>'시트1'!D46&amp;CHAR(10)&amp;"협업: 최성욱, 최인영"&amp;CHAR(10)&amp;"전반 관리: 김태윤(PM), 김동섭(APM)"</f>
        <v>황수빈
협업: 최성욱, 최인영
전반 관리: 김태윤(PM), 김동섭(APM)</v>
      </c>
      <c r="E40" s="7" t="s">
        <v>247</v>
      </c>
      <c r="F40" s="7" t="s">
        <v>248</v>
      </c>
      <c r="G40" s="7" t="s">
        <v>249</v>
      </c>
      <c r="H40" s="7" t="s">
        <v>250</v>
      </c>
      <c r="I40" s="7" t="s">
        <v>251</v>
      </c>
    </row>
    <row r="41" ht="69.0" customHeight="1">
      <c r="A41" s="5" t="s">
        <v>252</v>
      </c>
      <c r="B41" s="6" t="s">
        <v>169</v>
      </c>
      <c r="C41" s="7" t="s">
        <v>253</v>
      </c>
      <c r="D41" s="7" t="str">
        <f>'시트1'!D47&amp;CHAR(10)&amp;"협업: 최인영"&amp;CHAR(10)&amp;"전반 관리: 김태윤(PM), 김동섭(APM)"</f>
        <v>황수빈
협업: 최인영
전반 관리: 김태윤(PM), 김동섭(APM)</v>
      </c>
      <c r="E41" s="7" t="s">
        <v>254</v>
      </c>
      <c r="F41" s="7" t="s">
        <v>255</v>
      </c>
      <c r="G41" s="7" t="s">
        <v>256</v>
      </c>
      <c r="H41" s="7" t="s">
        <v>257</v>
      </c>
      <c r="I41" s="7" t="s">
        <v>258</v>
      </c>
    </row>
    <row r="42" ht="69.0" customHeight="1">
      <c r="A42" s="5" t="s">
        <v>259</v>
      </c>
      <c r="B42" s="6" t="s">
        <v>169</v>
      </c>
      <c r="C42" s="7" t="s">
        <v>260</v>
      </c>
      <c r="D42" s="7" t="str">
        <f>'시트1'!D48&amp;CHAR(10)&amp;"협업: 최인영"&amp;CHAR(10)&amp;"전반 관리: 김태윤(PM), 김동섭(APM)"</f>
        <v>황수빈
협업: 최인영
전반 관리: 김태윤(PM), 김동섭(APM)</v>
      </c>
      <c r="E42" s="7" t="s">
        <v>261</v>
      </c>
      <c r="F42" s="7" t="s">
        <v>262</v>
      </c>
      <c r="G42" s="7" t="s">
        <v>263</v>
      </c>
      <c r="H42" s="7" t="s">
        <v>264</v>
      </c>
      <c r="I42" s="7" t="s">
        <v>265</v>
      </c>
    </row>
    <row r="43" ht="69.0" customHeight="1">
      <c r="A43" s="5" t="s">
        <v>266</v>
      </c>
      <c r="B43" s="6" t="s">
        <v>169</v>
      </c>
      <c r="C43" s="7" t="s">
        <v>267</v>
      </c>
      <c r="D43" s="7" t="str">
        <f>'시트1'!D49&amp;CHAR(10)&amp;"협업: 최인영"&amp;CHAR(10)&amp;"전반 관리: 김태윤(PM), 김동섭(APM)"</f>
        <v>최성욱
협업: 최인영
전반 관리: 김태윤(PM), 김동섭(APM)</v>
      </c>
      <c r="E43" s="7" t="s">
        <v>240</v>
      </c>
      <c r="F43" s="7" t="s">
        <v>268</v>
      </c>
      <c r="G43" s="7" t="s">
        <v>269</v>
      </c>
      <c r="H43" s="7" t="s">
        <v>270</v>
      </c>
      <c r="I43" s="7" t="s">
        <v>271</v>
      </c>
    </row>
    <row r="44" ht="69.0" customHeight="1">
      <c r="A44" s="5" t="s">
        <v>272</v>
      </c>
      <c r="B44" s="6" t="s">
        <v>169</v>
      </c>
      <c r="C44" s="7" t="s">
        <v>273</v>
      </c>
      <c r="D44" s="7" t="str">
        <f>'시트1'!D50&amp;CHAR(10)&amp;"협업: 황수빈, 최인영"&amp;CHAR(10)&amp;"전반 관리: 김태윤(PM), 김동섭(APM)"</f>
        <v>최성욱
협업: 황수빈, 최인영
전반 관리: 김태윤(PM), 김동섭(APM)</v>
      </c>
      <c r="E44" s="7" t="s">
        <v>274</v>
      </c>
      <c r="F44" s="7" t="s">
        <v>275</v>
      </c>
      <c r="G44" s="7" t="s">
        <v>276</v>
      </c>
      <c r="H44" s="7" t="s">
        <v>277</v>
      </c>
      <c r="I44" s="7" t="s">
        <v>278</v>
      </c>
    </row>
    <row r="45" ht="69.0" customHeight="1">
      <c r="A45" s="5" t="s">
        <v>279</v>
      </c>
      <c r="B45" s="6" t="s">
        <v>169</v>
      </c>
      <c r="C45" s="7" t="s">
        <v>280</v>
      </c>
      <c r="D45" s="7" t="str">
        <f>'시트1'!D51&amp;CHAR(10)&amp;"협업: 김재현, 황수빈, 최인영"&amp;CHAR(10)&amp;"전반 관리: 김태윤(PM), 김동섭(APM)"</f>
        <v>최성욱
협업: 김재현, 황수빈, 최인영
전반 관리: 김태윤(PM), 김동섭(APM)</v>
      </c>
      <c r="E45" s="7" t="s">
        <v>281</v>
      </c>
      <c r="F45" s="7" t="s">
        <v>282</v>
      </c>
      <c r="G45" s="7" t="s">
        <v>283</v>
      </c>
      <c r="H45" s="7" t="s">
        <v>284</v>
      </c>
      <c r="I45" s="7" t="s">
        <v>285</v>
      </c>
    </row>
    <row r="46" ht="69.0" customHeight="1">
      <c r="A46" s="5" t="s">
        <v>286</v>
      </c>
      <c r="B46" s="6" t="s">
        <v>169</v>
      </c>
      <c r="C46" s="7" t="s">
        <v>287</v>
      </c>
      <c r="D46" s="7" t="str">
        <f>'시트1'!D52&amp;CHAR(10)&amp;"협업: 최성욱, 최인영"&amp;CHAR(10)&amp;"전반 관리: 김태윤(PM), 김동섭(APM)"</f>
        <v>황수빈
협업: 최성욱, 최인영
전반 관리: 김태윤(PM), 김동섭(APM)</v>
      </c>
      <c r="E46" s="7" t="s">
        <v>289</v>
      </c>
      <c r="F46" s="7" t="s">
        <v>290</v>
      </c>
      <c r="G46" s="7" t="s">
        <v>291</v>
      </c>
      <c r="H46" s="7" t="s">
        <v>292</v>
      </c>
      <c r="I46" s="7" t="s">
        <v>293</v>
      </c>
    </row>
    <row r="47" ht="69.0" customHeight="1">
      <c r="A47" s="5" t="s">
        <v>294</v>
      </c>
      <c r="B47" s="6" t="s">
        <v>169</v>
      </c>
      <c r="C47" s="7" t="s">
        <v>295</v>
      </c>
      <c r="D47" s="7" t="str">
        <f>'시트1'!D53&amp;CHAR(10)&amp;"협업: 황수빈, 김태윤"&amp;CHAR(10)&amp;"전반 관리: 김태윤(PM), 김동섭(APM)"</f>
        <v>최인영
협업: 황수빈, 김태윤
전반 관리: 김태윤(PM), 김동섭(APM)</v>
      </c>
      <c r="E47" s="7" t="s">
        <v>296</v>
      </c>
      <c r="F47" s="7" t="s">
        <v>297</v>
      </c>
      <c r="G47" s="7" t="s">
        <v>298</v>
      </c>
      <c r="H47" s="7" t="s">
        <v>299</v>
      </c>
      <c r="I47" s="7" t="s">
        <v>300</v>
      </c>
    </row>
    <row r="48" ht="69.0" customHeight="1">
      <c r="A48" s="5" t="s">
        <v>301</v>
      </c>
      <c r="B48" s="6" t="s">
        <v>169</v>
      </c>
      <c r="C48" s="7" t="s">
        <v>302</v>
      </c>
      <c r="D48" s="7" t="str">
        <f>'시트1'!D54&amp;CHAR(10)&amp;"협업: 황수빈"&amp;CHAR(10)&amp;"전반 관리: 김태윤(PM), 김동섭(APM)"</f>
        <v>최인영
협업: 황수빈
전반 관리: 김태윤(PM), 김동섭(APM)</v>
      </c>
      <c r="E48" s="7" t="s">
        <v>304</v>
      </c>
      <c r="F48" s="7" t="s">
        <v>305</v>
      </c>
      <c r="G48" s="7" t="s">
        <v>306</v>
      </c>
      <c r="H48" s="7" t="s">
        <v>307</v>
      </c>
      <c r="I48" s="7" t="s">
        <v>308</v>
      </c>
    </row>
    <row r="49" ht="69.0" customHeight="1">
      <c r="A49" s="5" t="s">
        <v>309</v>
      </c>
      <c r="B49" s="6" t="s">
        <v>169</v>
      </c>
      <c r="C49" s="7" t="s">
        <v>310</v>
      </c>
      <c r="D49" s="7" t="str">
        <f>'시트1'!D55&amp;CHAR(10)&amp;"협업: 최인영, 김태윤"&amp;CHAR(10)&amp;"전반 관리: 김태윤(PM), 김동섭(APM)"</f>
        <v>황수빈
협업: 최인영, 김태윤
전반 관리: 김태윤(PM), 김동섭(APM)</v>
      </c>
      <c r="E49" s="7" t="s">
        <v>312</v>
      </c>
      <c r="F49" s="7" t="s">
        <v>313</v>
      </c>
      <c r="G49" s="7" t="s">
        <v>315</v>
      </c>
      <c r="H49" s="7" t="s">
        <v>316</v>
      </c>
      <c r="I49" s="7" t="s">
        <v>317</v>
      </c>
    </row>
    <row r="50" ht="69.0" customHeight="1">
      <c r="A50" s="5" t="s">
        <v>318</v>
      </c>
      <c r="B50" s="6" t="s">
        <v>169</v>
      </c>
      <c r="C50" s="7" t="s">
        <v>319</v>
      </c>
      <c r="D50" s="7" t="str">
        <f>'시트1'!D56&amp;CHAR(10)&amp;"협업: 황수빈"&amp;CHAR(10)&amp;"전반 관리: 김태윤(PM), 김동섭(APM)"</f>
        <v>최인영
협업: 황수빈
전반 관리: 김태윤(PM), 김동섭(APM)</v>
      </c>
      <c r="E50" s="7" t="s">
        <v>320</v>
      </c>
      <c r="F50" s="7" t="s">
        <v>321</v>
      </c>
      <c r="G50" s="7" t="s">
        <v>322</v>
      </c>
      <c r="H50" s="7" t="s">
        <v>323</v>
      </c>
      <c r="I50" s="7" t="s">
        <v>324</v>
      </c>
    </row>
    <row r="51" ht="69.0" customHeight="1">
      <c r="A51" s="5" t="s">
        <v>325</v>
      </c>
      <c r="B51" s="6" t="s">
        <v>169</v>
      </c>
      <c r="C51" s="7" t="s">
        <v>326</v>
      </c>
      <c r="D51" s="7" t="str">
        <f>'시트1'!D57&amp;CHAR(10)&amp;"협업: 황수빈"&amp;CHAR(10)&amp;"전반 관리: 김태윤(PM), 김동섭(APM)"</f>
        <v>최인영
협업: 황수빈
전반 관리: 김태윤(PM), 김동섭(APM)</v>
      </c>
      <c r="E51" s="7" t="s">
        <v>327</v>
      </c>
      <c r="F51" s="7" t="s">
        <v>328</v>
      </c>
      <c r="G51" s="7" t="s">
        <v>329</v>
      </c>
      <c r="H51" s="7" t="s">
        <v>330</v>
      </c>
      <c r="I51" s="7" t="s">
        <v>331</v>
      </c>
    </row>
    <row r="52" ht="69.0" customHeight="1">
      <c r="A52" s="5" t="s">
        <v>332</v>
      </c>
      <c r="B52" s="6" t="s">
        <v>169</v>
      </c>
      <c r="C52" s="7" t="s">
        <v>333</v>
      </c>
      <c r="D52" s="7" t="str">
        <f>'시트1'!D58&amp;CHAR(10)&amp;"협업: 황수빈, 김태윤"&amp;CHAR(10)&amp;"전반 관리: 김태윤(PM), 김동섭(APM)"</f>
        <v>최인영
협업: 황수빈, 김태윤
전반 관리: 김태윤(PM), 김동섭(APM)</v>
      </c>
      <c r="E52" s="7" t="s">
        <v>325</v>
      </c>
      <c r="F52" s="7" t="s">
        <v>335</v>
      </c>
      <c r="G52" s="7" t="s">
        <v>336</v>
      </c>
      <c r="H52" s="7" t="s">
        <v>337</v>
      </c>
      <c r="I52" s="7" t="s">
        <v>338</v>
      </c>
    </row>
    <row r="53" ht="69.0" customHeight="1">
      <c r="A53" s="5" t="s">
        <v>339</v>
      </c>
      <c r="B53" s="6" t="s">
        <v>169</v>
      </c>
      <c r="C53" s="7" t="s">
        <v>340</v>
      </c>
      <c r="D53" s="7" t="str">
        <f>'시트1'!D59&amp;CHAR(10)&amp;"협업: 김태윤, 최인영"&amp;CHAR(10)&amp;"전반 관리: 김태윤(PM), 김동섭(APM)"</f>
        <v>김동섭
협업: 김태윤, 최인영
전반 관리: 김태윤(PM), 김동섭(APM)</v>
      </c>
      <c r="E53" s="7" t="s">
        <v>341</v>
      </c>
      <c r="F53" s="7" t="s">
        <v>342</v>
      </c>
      <c r="G53" s="7" t="s">
        <v>343</v>
      </c>
      <c r="H53" s="7" t="s">
        <v>344</v>
      </c>
      <c r="I53" s="7" t="s">
        <v>345</v>
      </c>
    </row>
    <row r="54" ht="69.0" customHeight="1">
      <c r="A54" s="5" t="s">
        <v>346</v>
      </c>
      <c r="B54" s="6" t="s">
        <v>169</v>
      </c>
      <c r="C54" s="7" t="s">
        <v>347</v>
      </c>
      <c r="D54" s="7" t="str">
        <f>'시트1'!D60&amp;CHAR(10)&amp;"협업: 최성욱, 김동섭, 김태윤"&amp;CHAR(10)&amp;"전반 관리: 김태윤(PM), 김동섭(APM)"</f>
        <v>김재현
협업: 최성욱, 김동섭, 김태윤
전반 관리: 김태윤(PM), 김동섭(APM)</v>
      </c>
      <c r="E54" s="7" t="s">
        <v>348</v>
      </c>
      <c r="F54" s="7" t="s">
        <v>349</v>
      </c>
      <c r="G54" s="7" t="s">
        <v>350</v>
      </c>
      <c r="H54" s="7" t="s">
        <v>351</v>
      </c>
      <c r="I54" s="7" t="s">
        <v>352</v>
      </c>
    </row>
    <row r="55" ht="69.0" customHeight="1">
      <c r="A55" s="5" t="s">
        <v>353</v>
      </c>
      <c r="B55" s="6" t="s">
        <v>169</v>
      </c>
      <c r="C55" s="7" t="s">
        <v>354</v>
      </c>
      <c r="D55" s="7" t="str">
        <f>'시트1'!D61&amp;CHAR(10)&amp;"협업: 김동섭"&amp;CHAR(10)&amp;"전반 관리: 김태윤(PM), 김동섭(APM)"</f>
        <v>김재현
협업: 김동섭
전반 관리: 김태윤(PM), 김동섭(APM)</v>
      </c>
      <c r="E55" s="7" t="s">
        <v>356</v>
      </c>
      <c r="F55" s="7" t="s">
        <v>357</v>
      </c>
      <c r="G55" s="7" t="s">
        <v>358</v>
      </c>
      <c r="H55" s="7" t="s">
        <v>359</v>
      </c>
      <c r="I55" s="7" t="s">
        <v>360</v>
      </c>
    </row>
    <row r="56" ht="69.0" customHeight="1">
      <c r="A56" s="5" t="s">
        <v>361</v>
      </c>
      <c r="B56" s="6" t="s">
        <v>169</v>
      </c>
      <c r="C56" s="7" t="s">
        <v>362</v>
      </c>
      <c r="D56" s="7" t="str">
        <f>'시트1'!D62&amp;CHAR(10)&amp;"협업: 최성욱"&amp;CHAR(10)&amp;"전반 관리: 김태윤(PM), 김동섭(APM)"</f>
        <v>김재현
협업: 최성욱
전반 관리: 김태윤(PM), 김동섭(APM)</v>
      </c>
      <c r="E56" s="7" t="s">
        <v>363</v>
      </c>
      <c r="F56" s="7" t="s">
        <v>364</v>
      </c>
      <c r="G56" s="7" t="s">
        <v>365</v>
      </c>
      <c r="H56" s="7" t="s">
        <v>366</v>
      </c>
      <c r="I56" s="7" t="s">
        <v>367</v>
      </c>
    </row>
    <row r="57" ht="69.0" customHeight="1">
      <c r="A57" s="5" t="s">
        <v>368</v>
      </c>
      <c r="B57" s="6" t="s">
        <v>169</v>
      </c>
      <c r="C57" s="7" t="s">
        <v>369</v>
      </c>
      <c r="D57" s="7" t="str">
        <f>'시트1'!D63&amp;CHAR(10)&amp;"협업: 최성욱"&amp;CHAR(10)&amp;"전반 관리: 김태윤(PM), 김동섭(APM)"</f>
        <v>김재현
협업: 최성욱
전반 관리: 김태윤(PM), 김동섭(APM)</v>
      </c>
      <c r="E57" s="7" t="s">
        <v>363</v>
      </c>
      <c r="F57" s="7" t="s">
        <v>370</v>
      </c>
      <c r="G57" s="7" t="s">
        <v>371</v>
      </c>
      <c r="H57" s="7" t="s">
        <v>372</v>
      </c>
      <c r="I57" s="7" t="s">
        <v>373</v>
      </c>
    </row>
    <row r="58" ht="69.0" customHeight="1">
      <c r="A58" s="5" t="s">
        <v>374</v>
      </c>
      <c r="B58" s="6" t="s">
        <v>169</v>
      </c>
      <c r="C58" s="7" t="s">
        <v>375</v>
      </c>
      <c r="D58" s="7" t="str">
        <f>'시트1'!D64&amp;CHAR(10)&amp;"협업: 김재현, 최인영"&amp;CHAR(10)&amp;"전반 관리: 김태윤(PM), 김동섭(APM)"</f>
        <v>최성욱
협업: 김재현, 최인영
전반 관리: 김태윤(PM), 김동섭(APM)</v>
      </c>
      <c r="E58" s="7" t="s">
        <v>376</v>
      </c>
      <c r="F58" s="7" t="s">
        <v>377</v>
      </c>
      <c r="G58" s="7" t="s">
        <v>378</v>
      </c>
      <c r="H58" s="7" t="s">
        <v>379</v>
      </c>
      <c r="I58" s="7" t="s">
        <v>380</v>
      </c>
    </row>
    <row r="59" ht="82.5" customHeight="1">
      <c r="A59" s="5" t="s">
        <v>381</v>
      </c>
      <c r="B59" s="6" t="s">
        <v>169</v>
      </c>
      <c r="C59" s="7" t="s">
        <v>382</v>
      </c>
      <c r="D59" s="7" t="str">
        <f>'시트1'!D65&amp;CHAR(10)&amp;"협업: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59" s="7" t="s">
        <v>161</v>
      </c>
      <c r="F59" s="7" t="s">
        <v>383</v>
      </c>
      <c r="G59" s="7" t="s">
        <v>384</v>
      </c>
      <c r="H59" s="7" t="s">
        <v>385</v>
      </c>
      <c r="I59" s="7" t="s">
        <v>386</v>
      </c>
    </row>
    <row r="60" ht="96.0" customHeight="1">
      <c r="A60" s="5" t="s">
        <v>387</v>
      </c>
      <c r="B60" s="6" t="s">
        <v>169</v>
      </c>
      <c r="C60" s="7" t="s">
        <v>388</v>
      </c>
      <c r="D60" s="7" t="str">
        <f>'시트1'!D66&amp;CHAR(10)&amp;"협업: 최성욱, 황수빈, 김재현, 김동섭"&amp;CHAR(10)&amp;"전반 관리: 김태윤(PM), 김동섭(APM)"</f>
        <v>최인영
협업: 최성욱, 황수빈, 김재현, 김동섭
전반 관리: 김태윤(PM), 김동섭(APM)</v>
      </c>
      <c r="E60" s="7" t="s">
        <v>389</v>
      </c>
      <c r="F60" s="7" t="s">
        <v>390</v>
      </c>
      <c r="G60" s="7" t="s">
        <v>391</v>
      </c>
      <c r="H60" s="7" t="s">
        <v>392</v>
      </c>
      <c r="I60" s="7" t="s">
        <v>393</v>
      </c>
    </row>
    <row r="61" ht="69.0" customHeight="1">
      <c r="A61" s="5" t="s">
        <v>394</v>
      </c>
      <c r="B61" s="6" t="s">
        <v>169</v>
      </c>
      <c r="C61" s="7" t="s">
        <v>395</v>
      </c>
      <c r="D61" s="7" t="str">
        <f>'시트1'!D67&amp;CHAR(10)&amp;"협업: 김동섭, 최성욱"&amp;CHAR(10)&amp;"전반 관리: 김태윤(PM), 김동섭(APM)"</f>
        <v>김재현
협업: 김동섭, 최성욱
전반 관리: 김태윤(PM), 김동섭(APM)</v>
      </c>
      <c r="E61" s="7" t="s">
        <v>129</v>
      </c>
      <c r="F61" s="7" t="s">
        <v>24</v>
      </c>
      <c r="G61" s="7" t="s">
        <v>396</v>
      </c>
      <c r="H61" s="7" t="s">
        <v>397</v>
      </c>
      <c r="I61" s="7" t="s">
        <v>398</v>
      </c>
    </row>
    <row r="62" ht="69.0" customHeight="1">
      <c r="A62" s="5" t="s">
        <v>399</v>
      </c>
      <c r="B62" s="6" t="s">
        <v>169</v>
      </c>
      <c r="C62" s="7" t="s">
        <v>400</v>
      </c>
      <c r="D62" s="7" t="str">
        <f>'시트1'!D68&amp;CHAR(10)&amp;"협업: 최성욱, 김동섭"&amp;CHAR(10)&amp;"전반 관리: 김태윤(PM), 김동섭(APM)"</f>
        <v>최인영
협업: 최성욱, 김동섭
전반 관리: 김태윤(PM), 김동섭(APM)</v>
      </c>
      <c r="E62" s="7" t="s">
        <v>116</v>
      </c>
      <c r="F62" s="7" t="s">
        <v>24</v>
      </c>
      <c r="G62" s="7" t="s">
        <v>401</v>
      </c>
      <c r="H62" s="7" t="s">
        <v>402</v>
      </c>
      <c r="I62" s="7" t="s">
        <v>403</v>
      </c>
    </row>
    <row r="63" ht="69.0" customHeight="1">
      <c r="A63" s="5" t="s">
        <v>404</v>
      </c>
      <c r="B63" s="6" t="s">
        <v>169</v>
      </c>
      <c r="C63" s="7" t="s">
        <v>405</v>
      </c>
      <c r="D63" s="7" t="str">
        <f>'시트1'!D69&amp;CHAR(10)&amp;"협업: 김재현, 최인영, 김동섭"&amp;CHAR(10)&amp;"전반 관리: 김태윤(PM), 김동섭(APM)"</f>
        <v>최성욱
협업: 김재현, 최인영, 김동섭
전반 관리: 김태윤(PM), 김동섭(APM)</v>
      </c>
      <c r="E63" s="7" t="s">
        <v>406</v>
      </c>
      <c r="F63" s="7" t="s">
        <v>24</v>
      </c>
      <c r="G63" s="7" t="s">
        <v>407</v>
      </c>
      <c r="H63" s="7" t="s">
        <v>408</v>
      </c>
      <c r="I63" s="7" t="s">
        <v>409</v>
      </c>
    </row>
    <row r="64" ht="82.5" customHeight="1">
      <c r="A64" s="5" t="s">
        <v>410</v>
      </c>
      <c r="B64" s="6" t="s">
        <v>169</v>
      </c>
      <c r="C64" s="7" t="s">
        <v>411</v>
      </c>
      <c r="D64" s="7" t="str">
        <f>'시트1'!D70&amp;CHAR(10)&amp;"협업: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64" s="7" t="s">
        <v>413</v>
      </c>
      <c r="F64" s="7" t="s">
        <v>24</v>
      </c>
      <c r="G64" s="7" t="s">
        <v>414</v>
      </c>
      <c r="H64" s="7" t="s">
        <v>415</v>
      </c>
      <c r="I64" s="7" t="s">
        <v>416</v>
      </c>
    </row>
    <row r="65" ht="258.0" customHeight="1">
      <c r="A65" s="5" t="s">
        <v>417</v>
      </c>
      <c r="B65" s="6" t="s">
        <v>418</v>
      </c>
      <c r="C65" s="7" t="s">
        <v>419</v>
      </c>
      <c r="D65" s="7" t="str">
        <f>'시트1'!D72&amp;CHAR(10)&amp;"협업: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65" s="7" t="s">
        <v>420</v>
      </c>
      <c r="F65" s="7" t="s">
        <v>421</v>
      </c>
      <c r="G65" s="7" t="s">
        <v>422</v>
      </c>
      <c r="H65" s="7" t="s">
        <v>423</v>
      </c>
      <c r="I65" s="7" t="s">
        <v>424</v>
      </c>
    </row>
    <row r="66" ht="69.0" customHeight="1">
      <c r="A66" s="5" t="s">
        <v>425</v>
      </c>
      <c r="B66" s="6" t="s">
        <v>418</v>
      </c>
      <c r="C66" s="7" t="s">
        <v>426</v>
      </c>
      <c r="D66" s="7" t="str">
        <f>'시트1'!D73&amp;CHAR(10)&amp;"협업: 김동섭, 황수빈, 최성욱"&amp;CHAR(10)&amp;"전반 관리: 김태윤(PM), 김동섭(APM)"</f>
        <v>김재현
협업: 김동섭, 황수빈, 최성욱
전반 관리: 김태윤(PM), 김동섭(APM)</v>
      </c>
      <c r="E66" s="7" t="s">
        <v>427</v>
      </c>
      <c r="F66" s="7" t="s">
        <v>428</v>
      </c>
      <c r="G66" s="7" t="s">
        <v>429</v>
      </c>
      <c r="H66" s="7" t="s">
        <v>430</v>
      </c>
      <c r="I66" s="7" t="s">
        <v>431</v>
      </c>
    </row>
    <row r="67" ht="69.0" customHeight="1">
      <c r="A67" s="5" t="s">
        <v>432</v>
      </c>
      <c r="B67" s="6" t="s">
        <v>418</v>
      </c>
      <c r="C67" s="7" t="s">
        <v>433</v>
      </c>
      <c r="D67" s="7" t="str">
        <f>'시트1'!D74&amp;CHAR(10)&amp;"협업: 황수빈, 최인영, 최성욱"&amp;CHAR(10)&amp;"전반 관리: 김태윤(PM), 김동섭(APM)"</f>
        <v>김태윤
협업: 황수빈, 최인영, 최성욱
전반 관리: 김태윤(PM), 김동섭(APM)</v>
      </c>
      <c r="E67" s="7" t="s">
        <v>417</v>
      </c>
      <c r="F67" s="7" t="s">
        <v>434</v>
      </c>
      <c r="G67" s="7" t="s">
        <v>435</v>
      </c>
      <c r="H67" s="7" t="s">
        <v>436</v>
      </c>
      <c r="I67" s="7" t="s">
        <v>437</v>
      </c>
    </row>
    <row r="68" ht="69.0" customHeight="1">
      <c r="A68" s="5" t="s">
        <v>438</v>
      </c>
      <c r="B68" s="6" t="s">
        <v>418</v>
      </c>
      <c r="C68" s="7" t="s">
        <v>439</v>
      </c>
      <c r="D68" s="7" t="str">
        <f>'시트1'!D75&amp;CHAR(10)&amp;"협업: 김태윤, 황수빈"&amp;CHAR(10)&amp;"전반 관리: 김태윤(PM), 김동섭(APM)"</f>
        <v>최인영
협업: 김태윤, 황수빈
전반 관리: 김태윤(PM), 김동섭(APM)</v>
      </c>
      <c r="E68" s="7" t="s">
        <v>417</v>
      </c>
      <c r="F68" s="7" t="s">
        <v>440</v>
      </c>
      <c r="G68" s="7" t="s">
        <v>441</v>
      </c>
      <c r="H68" s="7" t="s">
        <v>442</v>
      </c>
      <c r="I68" s="7" t="s">
        <v>443</v>
      </c>
    </row>
    <row r="69" ht="82.5" customHeight="1">
      <c r="A69" s="5" t="s">
        <v>444</v>
      </c>
      <c r="B69" s="6" t="s">
        <v>418</v>
      </c>
      <c r="C69" s="7" t="s">
        <v>445</v>
      </c>
      <c r="D69" s="7" t="str">
        <f>'시트1'!D76&amp;CHAR(10)&amp;"협업: 김태윤, 최인영, 김재현, 최성욱"&amp;CHAR(10)&amp;"전반 관리: 김태윤(PM), 김동섭(APM)"</f>
        <v>김동섭
협업: 김태윤, 최인영, 김재현, 최성욱
전반 관리: 김태윤(PM), 김동섭(APM)</v>
      </c>
      <c r="E69" s="7" t="s">
        <v>417</v>
      </c>
      <c r="F69" s="7" t="s">
        <v>446</v>
      </c>
      <c r="G69" s="7" t="s">
        <v>447</v>
      </c>
      <c r="H69" s="7" t="s">
        <v>448</v>
      </c>
      <c r="I69" s="7" t="s">
        <v>449</v>
      </c>
    </row>
    <row r="70" ht="82.5" customHeight="1">
      <c r="A70" s="5" t="s">
        <v>450</v>
      </c>
      <c r="B70" s="6" t="s">
        <v>418</v>
      </c>
      <c r="C70" s="7" t="s">
        <v>451</v>
      </c>
      <c r="D70" s="7" t="str">
        <f>'시트1'!D77&amp;CHAR(10)&amp;"협업: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70" s="7" t="s">
        <v>452</v>
      </c>
      <c r="F70" s="7" t="s">
        <v>24</v>
      </c>
      <c r="G70" s="7" t="s">
        <v>453</v>
      </c>
      <c r="H70" s="7" t="s">
        <v>454</v>
      </c>
      <c r="I70" s="7" t="s">
        <v>455</v>
      </c>
    </row>
    <row r="71" ht="82.5" customHeight="1">
      <c r="A71" s="5" t="s">
        <v>456</v>
      </c>
      <c r="B71" s="6" t="s">
        <v>418</v>
      </c>
      <c r="C71" s="7" t="s">
        <v>457</v>
      </c>
      <c r="D71" s="7" t="str">
        <f>'시트1'!D78&amp;CHAR(10)&amp;"협업: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71" s="7" t="s">
        <v>450</v>
      </c>
      <c r="F71" s="7" t="s">
        <v>458</v>
      </c>
      <c r="G71" s="7" t="s">
        <v>459</v>
      </c>
      <c r="H71" s="7" t="s">
        <v>460</v>
      </c>
      <c r="I71" s="7" t="s">
        <v>461</v>
      </c>
    </row>
    <row r="72" ht="69.0" customHeight="1">
      <c r="A72" s="5" t="s">
        <v>462</v>
      </c>
      <c r="B72" s="6" t="s">
        <v>418</v>
      </c>
      <c r="C72" s="7" t="s">
        <v>463</v>
      </c>
      <c r="D72" s="7" t="str">
        <f>'시트1'!D79&amp;CHAR(10)&amp;"협업: 김태윤, 최인영, 김재현"&amp;CHAR(10)&amp;"전반 관리: 김태윤(PM), 김동섭(APM)"</f>
        <v>김동섭
협업: 김태윤, 최인영, 김재현
전반 관리: 김태윤(PM), 김동섭(APM)</v>
      </c>
      <c r="E72" s="7" t="s">
        <v>456</v>
      </c>
      <c r="F72" s="7" t="s">
        <v>464</v>
      </c>
      <c r="G72" s="7" t="s">
        <v>465</v>
      </c>
      <c r="H72" s="7" t="s">
        <v>466</v>
      </c>
      <c r="I72" s="7" t="s">
        <v>467</v>
      </c>
    </row>
    <row r="73" ht="82.5" customHeight="1">
      <c r="A73" s="5" t="s">
        <v>468</v>
      </c>
      <c r="B73" s="6" t="s">
        <v>418</v>
      </c>
      <c r="C73" s="7" t="s">
        <v>469</v>
      </c>
      <c r="D73" s="7" t="str">
        <f>'시트1'!D80&amp;CHAR(10)&amp;"협업: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73" s="7" t="s">
        <v>462</v>
      </c>
      <c r="F73" s="7" t="s">
        <v>470</v>
      </c>
      <c r="G73" s="7" t="s">
        <v>471</v>
      </c>
      <c r="H73" s="7" t="s">
        <v>472</v>
      </c>
      <c r="I73" s="7" t="s">
        <v>473</v>
      </c>
    </row>
    <row r="74" ht="82.5" customHeight="1">
      <c r="A74" s="5" t="s">
        <v>474</v>
      </c>
      <c r="B74" s="6" t="s">
        <v>418</v>
      </c>
      <c r="C74" s="7" t="s">
        <v>475</v>
      </c>
      <c r="D74" s="7" t="str">
        <f>'시트1'!D81&amp;CHAR(10)&amp;"협업: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74" s="7" t="s">
        <v>468</v>
      </c>
      <c r="F74" s="7" t="s">
        <v>24</v>
      </c>
      <c r="G74" s="7" t="s">
        <v>476</v>
      </c>
      <c r="H74" s="7" t="s">
        <v>477</v>
      </c>
      <c r="I74" s="7" t="s">
        <v>478</v>
      </c>
    </row>
    <row r="75" ht="82.5" customHeight="1">
      <c r="A75" s="5" t="s">
        <v>479</v>
      </c>
      <c r="B75" s="6" t="s">
        <v>418</v>
      </c>
      <c r="C75" s="7" t="s">
        <v>480</v>
      </c>
      <c r="D75" s="7" t="str">
        <f>'시트1'!D82&amp;CHAR(10)&amp;"협업: 김태윤, 최인영, 김재현, 황수빈"&amp;CHAR(10)&amp;"전반 관리: 김태윤(PM), 김동섭(APM)"</f>
        <v>최성욱
협업: 김태윤, 최인영, 김재현, 황수빈
전반 관리: 김태윤(PM), 김동섭(APM)</v>
      </c>
      <c r="E75" s="7" t="s">
        <v>481</v>
      </c>
      <c r="F75" s="7" t="s">
        <v>24</v>
      </c>
      <c r="G75" s="7" t="s">
        <v>482</v>
      </c>
      <c r="H75" s="7" t="s">
        <v>483</v>
      </c>
      <c r="I75" s="7" t="s">
        <v>484</v>
      </c>
    </row>
    <row r="76" ht="69.0" customHeight="1">
      <c r="A76" s="5" t="s">
        <v>485</v>
      </c>
      <c r="B76" s="6" t="s">
        <v>486</v>
      </c>
      <c r="C76" s="7" t="s">
        <v>487</v>
      </c>
      <c r="D76" s="7" t="str">
        <f>'시트1'!D84&amp;CHAR(10)&amp;"협업: 최인영, 최성욱, 김동섭"&amp;CHAR(10)&amp;"전반 관리: 김태윤(PM), 김동섭(APM)"</f>
        <v>김태윤
협업: 최인영, 최성욱, 김동섭
전반 관리: 김태윤(PM), 김동섭(APM)</v>
      </c>
      <c r="E76" s="7" t="s">
        <v>58</v>
      </c>
      <c r="F76" s="7" t="s">
        <v>488</v>
      </c>
      <c r="G76" s="7" t="s">
        <v>489</v>
      </c>
      <c r="H76" s="7" t="s">
        <v>490</v>
      </c>
      <c r="I76" s="7" t="s">
        <v>491</v>
      </c>
    </row>
    <row r="77" ht="69.0" customHeight="1">
      <c r="A77" s="5" t="s">
        <v>492</v>
      </c>
      <c r="B77" s="6" t="s">
        <v>486</v>
      </c>
      <c r="C77" s="7" t="s">
        <v>493</v>
      </c>
      <c r="D77" s="7" t="str">
        <f>'시트1'!D85&amp;CHAR(10)&amp;"협업: 김동섭"&amp;CHAR(10)&amp;"전반 관리: 김태윤(PM), 김동섭(APM)"</f>
        <v>김태윤
협업: 김동섭
전반 관리: 김태윤(PM), 김동섭(APM)</v>
      </c>
      <c r="E77" s="7" t="s">
        <v>58</v>
      </c>
      <c r="F77" s="7" t="s">
        <v>488</v>
      </c>
      <c r="G77" s="7" t="s">
        <v>494</v>
      </c>
      <c r="H77" s="7" t="s">
        <v>495</v>
      </c>
      <c r="I77" s="7" t="s">
        <v>491</v>
      </c>
    </row>
    <row r="78" ht="82.5" customHeight="1">
      <c r="A78" s="5" t="s">
        <v>496</v>
      </c>
      <c r="B78" s="6" t="s">
        <v>486</v>
      </c>
      <c r="C78" s="7" t="s">
        <v>497</v>
      </c>
      <c r="D78" s="7" t="str">
        <f>'시트1'!D86&amp;CHAR(10)&amp;"협업: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78" s="7" t="s">
        <v>58</v>
      </c>
      <c r="F78" s="7" t="s">
        <v>488</v>
      </c>
      <c r="G78" s="7" t="s">
        <v>498</v>
      </c>
      <c r="H78" s="7" t="s">
        <v>499</v>
      </c>
      <c r="I78" s="7" t="s">
        <v>491</v>
      </c>
    </row>
    <row r="79" ht="69.0" customHeight="1">
      <c r="A79" s="5" t="s">
        <v>500</v>
      </c>
      <c r="B79" s="6" t="s">
        <v>486</v>
      </c>
      <c r="C79" s="7" t="s">
        <v>501</v>
      </c>
      <c r="D79" s="7" t="str">
        <f>'시트1'!D87&amp;CHAR(10)&amp;"협업: 김재현, 최성욱"&amp;CHAR(10)&amp;"전반 관리: 김태윤(PM), 김동섭(APM)"</f>
        <v>김동섭
협업: 김재현, 최성욱
전반 관리: 김태윤(PM), 김동섭(APM)</v>
      </c>
      <c r="E79" s="7" t="s">
        <v>50</v>
      </c>
      <c r="F79" s="7" t="s">
        <v>488</v>
      </c>
      <c r="G79" s="7" t="s">
        <v>502</v>
      </c>
      <c r="H79" s="7" t="s">
        <v>503</v>
      </c>
      <c r="I79" s="7" t="s">
        <v>491</v>
      </c>
    </row>
    <row r="80" ht="69.0" customHeight="1">
      <c r="A80" s="5" t="s">
        <v>504</v>
      </c>
      <c r="B80" s="6" t="s">
        <v>486</v>
      </c>
      <c r="C80" s="7" t="s">
        <v>505</v>
      </c>
      <c r="D80" s="7" t="str">
        <f>'시트1'!D88&amp;CHAR(10)&amp;"협업: 최인영, 김재현, 김동섭"&amp;CHAR(10)&amp;"전반 관리: 김태윤(PM), 김동섭(APM)"</f>
        <v>최성욱
협업: 최인영, 김재현, 김동섭
전반 관리: 김태윤(PM), 김동섭(APM)</v>
      </c>
      <c r="E80" s="7" t="s">
        <v>171</v>
      </c>
      <c r="F80" s="7" t="s">
        <v>488</v>
      </c>
      <c r="G80" s="7" t="s">
        <v>506</v>
      </c>
      <c r="H80" s="7" t="s">
        <v>507</v>
      </c>
      <c r="I80" s="7" t="s">
        <v>491</v>
      </c>
    </row>
    <row r="81" ht="69.0" customHeight="1">
      <c r="A81" s="5" t="s">
        <v>508</v>
      </c>
      <c r="B81" s="6" t="s">
        <v>486</v>
      </c>
      <c r="C81" s="7" t="s">
        <v>509</v>
      </c>
      <c r="D81" s="7" t="str">
        <f>'시트1'!D89&amp;CHAR(10)&amp;"협업: 최인영, 최성욱"&amp;CHAR(10)&amp;"전반 관리: 김태윤(PM), 김동섭(APM)"</f>
        <v>황수빈
협업: 최인영, 최성욱
전반 관리: 김태윤(PM), 김동섭(APM)</v>
      </c>
      <c r="E81" s="7" t="s">
        <v>510</v>
      </c>
      <c r="F81" s="7" t="s">
        <v>488</v>
      </c>
      <c r="G81" s="7" t="s">
        <v>511</v>
      </c>
      <c r="H81" s="7" t="s">
        <v>512</v>
      </c>
      <c r="I81" s="7" t="s">
        <v>491</v>
      </c>
    </row>
    <row r="82" ht="69.0" customHeight="1">
      <c r="A82" s="5" t="s">
        <v>513</v>
      </c>
      <c r="B82" s="6" t="s">
        <v>486</v>
      </c>
      <c r="C82" s="7" t="s">
        <v>514</v>
      </c>
      <c r="D82" s="7" t="str">
        <f>'시트1'!D90&amp;CHAR(10)&amp;"협업: 최인영, 김재현"&amp;CHAR(10)&amp;"전반 관리: 김태윤(PM), 김동섭(APM)"</f>
        <v>김동섭
협업: 최인영, 김재현
전반 관리: 김태윤(PM), 김동섭(APM)</v>
      </c>
      <c r="E82" s="7" t="s">
        <v>143</v>
      </c>
      <c r="F82" s="7" t="s">
        <v>488</v>
      </c>
      <c r="G82" s="7" t="s">
        <v>515</v>
      </c>
      <c r="H82" s="7" t="s">
        <v>516</v>
      </c>
      <c r="I82" s="7" t="s">
        <v>491</v>
      </c>
    </row>
    <row r="83" ht="69.0" customHeight="1">
      <c r="A83" s="5" t="s">
        <v>517</v>
      </c>
      <c r="B83" s="6" t="s">
        <v>486</v>
      </c>
      <c r="C83" s="7" t="s">
        <v>518</v>
      </c>
      <c r="D83" s="7" t="str">
        <f>'시트1'!D91&amp;CHAR(10)&amp;"협업: 최성욱"&amp;CHAR(10)&amp;"전반 관리: 김태윤(PM), 김동섭(APM)"</f>
        <v>최인영
협업: 최성욱
전반 관리: 김태윤(PM), 김동섭(APM)</v>
      </c>
      <c r="E83" s="7" t="s">
        <v>399</v>
      </c>
      <c r="F83" s="7" t="s">
        <v>488</v>
      </c>
      <c r="G83" s="7" t="s">
        <v>519</v>
      </c>
      <c r="H83" s="7" t="s">
        <v>520</v>
      </c>
      <c r="I83" s="7" t="s">
        <v>491</v>
      </c>
    </row>
    <row r="84" ht="69.0" customHeight="1">
      <c r="A84" s="5" t="s">
        <v>521</v>
      </c>
      <c r="B84" s="6" t="s">
        <v>486</v>
      </c>
      <c r="C84" s="7" t="s">
        <v>522</v>
      </c>
      <c r="D84" s="7" t="str">
        <f>'시트1'!D92&amp;CHAR(10)&amp;"협업: 김동섭, 최성욱"&amp;CHAR(10)&amp;"전반 관리: 김태윤(PM), 김동섭(APM)"</f>
        <v>김재현
협업: 김동섭, 최성욱
전반 관리: 김태윤(PM), 김동섭(APM)</v>
      </c>
      <c r="E84" s="7" t="s">
        <v>394</v>
      </c>
      <c r="F84" s="7" t="s">
        <v>488</v>
      </c>
      <c r="G84" s="7" t="s">
        <v>523</v>
      </c>
      <c r="H84" s="7" t="s">
        <v>524</v>
      </c>
      <c r="I84" s="7" t="s">
        <v>491</v>
      </c>
    </row>
    <row r="85" ht="82.5" customHeight="1">
      <c r="A85" s="5" t="s">
        <v>525</v>
      </c>
      <c r="B85" s="6" t="s">
        <v>486</v>
      </c>
      <c r="C85" s="7" t="s">
        <v>526</v>
      </c>
      <c r="D85" s="7" t="str">
        <f>'시트1'!D93&amp;CHAR(10)&amp;"협업: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85" s="7" t="s">
        <v>527</v>
      </c>
      <c r="F85" s="7" t="s">
        <v>488</v>
      </c>
      <c r="G85" s="7" t="s">
        <v>528</v>
      </c>
      <c r="H85" s="7" t="s">
        <v>529</v>
      </c>
      <c r="I85" s="7" t="s">
        <v>491</v>
      </c>
    </row>
    <row r="86" ht="69.0" customHeight="1">
      <c r="A86" s="5" t="s">
        <v>530</v>
      </c>
      <c r="B86" s="6" t="s">
        <v>486</v>
      </c>
      <c r="C86" s="7" t="s">
        <v>531</v>
      </c>
      <c r="D86" s="7" t="str">
        <f>'시트1'!D94&amp;CHAR(10)&amp;"협업: 김동섭, 황수빈"&amp;CHAR(10)&amp;"전반 관리: 김태윤(PM), 김동섭(APM)"</f>
        <v>김재현
협업: 김동섭, 황수빈
전반 관리: 김태윤(PM), 김동섭(APM)</v>
      </c>
      <c r="E86" s="7" t="s">
        <v>353</v>
      </c>
      <c r="F86" s="7" t="s">
        <v>488</v>
      </c>
      <c r="G86" s="7" t="s">
        <v>532</v>
      </c>
      <c r="H86" s="7" t="s">
        <v>533</v>
      </c>
      <c r="I86" s="7" t="s">
        <v>491</v>
      </c>
    </row>
    <row r="87" ht="69.0" customHeight="1">
      <c r="A87" s="5" t="s">
        <v>534</v>
      </c>
      <c r="B87" s="6" t="s">
        <v>486</v>
      </c>
      <c r="C87" s="7" t="s">
        <v>535</v>
      </c>
      <c r="D87" s="7" t="str">
        <f>'시트1'!D95&amp;CHAR(10)&amp;"협업: 최인영, 최성욱"&amp;CHAR(10)&amp;"전반 관리: 김태윤(PM), 김동섭(APM)"</f>
        <v>김재현
협업: 최인영, 최성욱
전반 관리: 김태윤(PM), 김동섭(APM)</v>
      </c>
      <c r="E87" s="7" t="s">
        <v>353</v>
      </c>
      <c r="F87" s="7" t="s">
        <v>488</v>
      </c>
      <c r="G87" s="7" t="s">
        <v>536</v>
      </c>
      <c r="H87" s="7" t="s">
        <v>537</v>
      </c>
      <c r="I87" s="7" t="s">
        <v>491</v>
      </c>
    </row>
    <row r="88" ht="69.0" customHeight="1">
      <c r="A88" s="5" t="s">
        <v>538</v>
      </c>
      <c r="B88" s="6" t="s">
        <v>486</v>
      </c>
      <c r="C88" s="7" t="s">
        <v>539</v>
      </c>
      <c r="D88" s="7" t="str">
        <f>'시트1'!D96&amp;CHAR(10)&amp;"협업: 김재현, 최인영"&amp;CHAR(10)&amp;"전반 관리: 김태윤(PM), 김동섭(APM)"</f>
        <v>최성욱
협업: 김재현, 최인영
전반 관리: 김태윤(PM), 김동섭(APM)</v>
      </c>
      <c r="E88" s="7" t="s">
        <v>404</v>
      </c>
      <c r="F88" s="7" t="s">
        <v>488</v>
      </c>
      <c r="G88" s="7" t="s">
        <v>540</v>
      </c>
      <c r="H88" s="7" t="s">
        <v>541</v>
      </c>
      <c r="I88" s="7" t="s">
        <v>491</v>
      </c>
    </row>
    <row r="89" ht="69.0" customHeight="1">
      <c r="A89" s="5" t="s">
        <v>542</v>
      </c>
      <c r="B89" s="6" t="s">
        <v>486</v>
      </c>
      <c r="C89" s="7" t="s">
        <v>543</v>
      </c>
      <c r="D89" s="7" t="str">
        <f>'시트1'!D97&amp;CHAR(10)&amp;"협업: 김재현, 최인영"&amp;CHAR(10)&amp;"전반 관리: 김태윤(PM), 김동섭(APM)"</f>
        <v>최성욱
협업: 김재현, 최인영
전반 관리: 김태윤(PM), 김동섭(APM)</v>
      </c>
      <c r="E89" s="7" t="s">
        <v>544</v>
      </c>
      <c r="F89" s="7" t="s">
        <v>488</v>
      </c>
      <c r="G89" s="7" t="s">
        <v>545</v>
      </c>
      <c r="H89" s="7" t="s">
        <v>546</v>
      </c>
      <c r="I89" s="7" t="s">
        <v>491</v>
      </c>
    </row>
    <row r="90" ht="69.0" customHeight="1">
      <c r="A90" s="5" t="s">
        <v>547</v>
      </c>
      <c r="B90" s="6" t="s">
        <v>486</v>
      </c>
      <c r="C90" s="7" t="s">
        <v>548</v>
      </c>
      <c r="D90" s="7" t="str">
        <f>'시트1'!D98&amp;CHAR(10)&amp;"협업: 최성욱, 황수빈"&amp;CHAR(10)&amp;"전반 관리: 김태윤(PM), 김동섭(APM)"</f>
        <v>김재현
협업: 최성욱, 황수빈
전반 관리: 김태윤(PM), 김동섭(APM)</v>
      </c>
      <c r="E90" s="7" t="s">
        <v>361</v>
      </c>
      <c r="F90" s="7" t="s">
        <v>488</v>
      </c>
      <c r="G90" s="7" t="s">
        <v>549</v>
      </c>
      <c r="H90" s="7" t="s">
        <v>550</v>
      </c>
      <c r="I90" s="7" t="s">
        <v>491</v>
      </c>
    </row>
    <row r="91" ht="82.5" customHeight="1">
      <c r="A91" s="5" t="s">
        <v>551</v>
      </c>
      <c r="B91" s="6" t="s">
        <v>486</v>
      </c>
      <c r="C91" s="7" t="s">
        <v>552</v>
      </c>
      <c r="D91" s="7" t="str">
        <f>'시트1'!D99&amp;CHAR(10)&amp;"협업: 김태윤, 김재현, 황수빈, 최인영"&amp;CHAR(10)&amp;"전반 관리: 김태윤(PM), 김동섭(APM)"</f>
        <v>최성욱
협업: 김태윤, 김재현, 황수빈, 최인영
전반 관리: 김태윤(PM), 김동섭(APM)</v>
      </c>
      <c r="E91" s="7" t="s">
        <v>479</v>
      </c>
      <c r="F91" s="7" t="s">
        <v>488</v>
      </c>
      <c r="G91" s="7" t="s">
        <v>553</v>
      </c>
      <c r="H91" s="7" t="s">
        <v>554</v>
      </c>
      <c r="I91" s="7" t="s">
        <v>491</v>
      </c>
    </row>
    <row r="92" ht="82.5" customHeight="1">
      <c r="A92" s="5" t="s">
        <v>555</v>
      </c>
      <c r="B92" s="6" t="s">
        <v>486</v>
      </c>
      <c r="C92" s="7" t="s">
        <v>556</v>
      </c>
      <c r="D92" s="7" t="str">
        <f>'시트1'!D100&amp;CHAR(10)&amp;"협업: 김동섭, 최인영, 황수빈, 최성욱"&amp;CHAR(10)&amp;"전반 관리: 김태윤(PM), 김동섭(APM)"</f>
        <v>김태윤
협업: 김동섭, 최인영, 황수빈, 최성욱
전반 관리: 김태윤(PM), 김동섭(APM)</v>
      </c>
      <c r="E92" s="7" t="s">
        <v>450</v>
      </c>
      <c r="F92" s="7" t="s">
        <v>488</v>
      </c>
      <c r="G92" s="7" t="s">
        <v>557</v>
      </c>
      <c r="H92" s="7" t="s">
        <v>558</v>
      </c>
      <c r="I92" s="7" t="s">
        <v>491</v>
      </c>
    </row>
    <row r="93" ht="69.0" customHeight="1">
      <c r="A93" s="5" t="s">
        <v>559</v>
      </c>
      <c r="B93" s="6" t="s">
        <v>486</v>
      </c>
      <c r="C93" s="7" t="s">
        <v>560</v>
      </c>
      <c r="D93" s="7" t="str">
        <f>'시트1'!D101&amp;CHAR(10)&amp;"협업: 김동섭, 최성욱, 황수빈"&amp;CHAR(10)&amp;"전반 관리: 김태윤(PM), 김동섭(APM)"</f>
        <v>최인영
협업: 김동섭, 최성욱, 황수빈
전반 관리: 김태윤(PM), 김동섭(APM)</v>
      </c>
      <c r="E93" s="7" t="s">
        <v>468</v>
      </c>
      <c r="F93" s="7" t="s">
        <v>488</v>
      </c>
      <c r="G93" s="7" t="s">
        <v>561</v>
      </c>
      <c r="H93" s="7" t="s">
        <v>562</v>
      </c>
      <c r="I93" s="7" t="s">
        <v>491</v>
      </c>
    </row>
    <row r="94" ht="82.5" customHeight="1">
      <c r="A94" s="5" t="s">
        <v>563</v>
      </c>
      <c r="B94" s="6" t="s">
        <v>486</v>
      </c>
      <c r="C94" s="7" t="s">
        <v>564</v>
      </c>
      <c r="D94" s="7" t="str">
        <f>'시트1'!D102&amp;CHAR(10)&amp;"협업: 김동섭, 김재현, 최인영, 최성욱, 황수빈"&amp;CHAR(10)&amp;"전반 관리: 김태윤(PM), 김동섭(APM)"</f>
        <v>김태윤
협업: 김동섭, 김재현, 최인영, 최성욱, 황수빈
전반 관리: 김태윤(PM), 김동섭(APM)</v>
      </c>
      <c r="E94" s="7" t="s">
        <v>565</v>
      </c>
      <c r="F94" s="7" t="s">
        <v>488</v>
      </c>
      <c r="G94" s="7" t="s">
        <v>566</v>
      </c>
      <c r="H94" s="7" t="s">
        <v>567</v>
      </c>
      <c r="I94" s="7" t="s">
        <v>491</v>
      </c>
    </row>
    <row r="95" ht="82.5" customHeight="1">
      <c r="A95" s="5" t="s">
        <v>568</v>
      </c>
      <c r="B95" s="6" t="s">
        <v>486</v>
      </c>
      <c r="C95" s="7" t="s">
        <v>569</v>
      </c>
      <c r="D95" s="7" t="str">
        <f>'시트1'!D103&amp;CHAR(10)&amp;"협업: 김동섭, 김재현, 최인영, 최성욱, 황수빈"&amp;CHAR(10)&amp;"전반 관리: 김태윤(PM), 김동섭(APM)"</f>
        <v>최인영
협업: 김동섭, 김재현, 최인영, 최성욱, 황수빈
전반 관리: 김태윤(PM), 김동섭(APM)</v>
      </c>
      <c r="E95" s="7" t="s">
        <v>468</v>
      </c>
      <c r="F95" s="7" t="s">
        <v>488</v>
      </c>
      <c r="G95" s="7" t="s">
        <v>570</v>
      </c>
      <c r="H95" s="7" t="s">
        <v>571</v>
      </c>
      <c r="I95" s="7" t="s">
        <v>491</v>
      </c>
    </row>
    <row r="96" ht="82.5" customHeight="1">
      <c r="A96" s="5" t="s">
        <v>572</v>
      </c>
      <c r="B96" s="6" t="s">
        <v>486</v>
      </c>
      <c r="C96" s="7" t="s">
        <v>573</v>
      </c>
      <c r="D96" s="7" t="str">
        <f>'시트1'!D104&amp;CHAR(10)&amp;"협업: 황수빈, 김동섭, 최인영, 최성욱"&amp;CHAR(10)&amp;"전반 관리: 김태윤(PM), 김동섭(APM)"</f>
        <v>김태윤
협업: 황수빈, 김동섭, 최인영, 최성욱
전반 관리: 김태윤(PM), 김동섭(APM)</v>
      </c>
      <c r="E96" s="7" t="s">
        <v>574</v>
      </c>
      <c r="F96" s="7" t="s">
        <v>488</v>
      </c>
      <c r="G96" s="7" t="s">
        <v>575</v>
      </c>
      <c r="H96" s="7" t="s">
        <v>576</v>
      </c>
      <c r="I96" s="7" t="s">
        <v>491</v>
      </c>
    </row>
    <row r="97" ht="25.5" customHeight="1"/>
    <row r="98" ht="78.0" customHeight="1">
      <c r="A98" s="40" t="s">
        <v>577</v>
      </c>
      <c r="B98" s="40"/>
      <c r="C98" s="40"/>
      <c r="D98" s="40"/>
      <c r="E98" s="40"/>
      <c r="F98" s="40"/>
      <c r="G98" s="40"/>
      <c r="H98" s="40"/>
      <c r="I98" s="40"/>
    </row>
    <row r="99" ht="78.0" customHeight="1">
      <c r="A99" s="41" t="s">
        <v>578</v>
      </c>
      <c r="B99" s="41" t="s">
        <v>579</v>
      </c>
      <c r="C99" s="41" t="s">
        <v>580</v>
      </c>
    </row>
    <row r="100" ht="78.0" customHeight="1">
      <c r="A100" s="7" t="s">
        <v>52</v>
      </c>
      <c r="B100" s="7" t="s">
        <v>581</v>
      </c>
      <c r="C100" s="42" t="s">
        <v>582</v>
      </c>
      <c r="D100" s="43"/>
      <c r="E100" s="43"/>
      <c r="F100" s="43"/>
      <c r="G100" s="43"/>
      <c r="H100" s="43"/>
      <c r="I100" s="44"/>
    </row>
    <row r="101" ht="78.0" customHeight="1">
      <c r="A101" s="7" t="s">
        <v>288</v>
      </c>
      <c r="B101" s="7" t="s">
        <v>583</v>
      </c>
      <c r="C101" s="42" t="s">
        <v>584</v>
      </c>
      <c r="D101" s="43"/>
      <c r="E101" s="43"/>
      <c r="F101" s="43"/>
      <c r="G101" s="43"/>
      <c r="H101" s="43"/>
      <c r="I101" s="44"/>
    </row>
    <row r="102" ht="78.0" customHeight="1">
      <c r="A102" s="7" t="s">
        <v>314</v>
      </c>
      <c r="B102" s="7" t="s">
        <v>585</v>
      </c>
      <c r="C102" s="42" t="s">
        <v>586</v>
      </c>
      <c r="D102" s="43"/>
      <c r="E102" s="43"/>
      <c r="F102" s="43"/>
      <c r="G102" s="43"/>
      <c r="H102" s="43"/>
      <c r="I102" s="44"/>
    </row>
    <row r="103" ht="78.0" customHeight="1">
      <c r="A103" s="7" t="s">
        <v>303</v>
      </c>
      <c r="B103" s="7" t="s">
        <v>587</v>
      </c>
      <c r="C103" s="42" t="s">
        <v>588</v>
      </c>
      <c r="D103" s="43"/>
      <c r="E103" s="43"/>
      <c r="F103" s="43"/>
      <c r="G103" s="43"/>
      <c r="H103" s="43"/>
      <c r="I103" s="44"/>
    </row>
    <row r="104" ht="78.0" customHeight="1">
      <c r="A104" s="7" t="s">
        <v>311</v>
      </c>
      <c r="B104" s="7" t="s">
        <v>589</v>
      </c>
      <c r="C104" s="42" t="s">
        <v>590</v>
      </c>
      <c r="D104" s="43"/>
      <c r="E104" s="43"/>
      <c r="F104" s="43"/>
      <c r="G104" s="43"/>
      <c r="H104" s="43"/>
      <c r="I104" s="44"/>
    </row>
    <row r="105" ht="15.75" customHeight="1">
      <c r="A105" s="7" t="s">
        <v>355</v>
      </c>
      <c r="B105" s="7" t="s">
        <v>591</v>
      </c>
      <c r="C105" s="42" t="s">
        <v>592</v>
      </c>
      <c r="D105" s="43"/>
      <c r="E105" s="43"/>
      <c r="F105" s="43"/>
      <c r="G105" s="43"/>
      <c r="H105" s="43"/>
      <c r="I105" s="44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25.5" customHeight="1">
      <c r="A107" s="45" t="s">
        <v>593</v>
      </c>
      <c r="B107" s="45"/>
      <c r="C107" s="45"/>
      <c r="D107" s="45"/>
      <c r="E107" s="45"/>
      <c r="F107" s="45"/>
      <c r="G107" s="45"/>
      <c r="H107" s="45"/>
      <c r="I107" s="45"/>
    </row>
    <row r="108" ht="78.0" customHeight="1"/>
    <row r="109" ht="24.0" customHeight="1">
      <c r="A109" s="46" t="s">
        <v>594</v>
      </c>
    </row>
    <row r="110" ht="25.5" customHeight="1">
      <c r="A110" s="47" t="s">
        <v>595</v>
      </c>
      <c r="B110" s="47" t="s">
        <v>596</v>
      </c>
      <c r="C110" s="47" t="s">
        <v>597</v>
      </c>
    </row>
    <row r="111" ht="25.5" customHeight="1">
      <c r="A111" s="7" t="s">
        <v>15</v>
      </c>
      <c r="B111" s="7" t="s">
        <v>15</v>
      </c>
      <c r="C111" s="42" t="s">
        <v>17</v>
      </c>
      <c r="D111" s="43"/>
      <c r="E111" s="43"/>
      <c r="F111" s="43"/>
      <c r="G111" s="43"/>
      <c r="H111" s="43"/>
      <c r="I111" s="44"/>
    </row>
    <row r="112" ht="25.5" customHeight="1">
      <c r="A112" s="7" t="s">
        <v>599</v>
      </c>
      <c r="B112" s="7" t="s">
        <v>28</v>
      </c>
      <c r="C112" s="42" t="s">
        <v>29</v>
      </c>
      <c r="D112" s="43"/>
      <c r="E112" s="43"/>
      <c r="F112" s="43"/>
      <c r="G112" s="43"/>
      <c r="H112" s="43"/>
      <c r="I112" s="44"/>
    </row>
    <row r="113" ht="25.5" customHeight="1">
      <c r="A113" s="7" t="s">
        <v>28</v>
      </c>
      <c r="B113" s="7" t="s">
        <v>35</v>
      </c>
      <c r="C113" s="42" t="s">
        <v>36</v>
      </c>
      <c r="D113" s="43"/>
      <c r="E113" s="43"/>
      <c r="F113" s="43"/>
      <c r="G113" s="43"/>
      <c r="H113" s="43"/>
      <c r="I113" s="44"/>
    </row>
    <row r="114" ht="25.5" customHeight="1">
      <c r="A114" s="7" t="s">
        <v>35</v>
      </c>
      <c r="B114" s="7" t="s">
        <v>40</v>
      </c>
      <c r="C114" s="42" t="s">
        <v>41</v>
      </c>
      <c r="D114" s="43"/>
      <c r="E114" s="43"/>
      <c r="F114" s="43"/>
      <c r="G114" s="43"/>
      <c r="H114" s="43"/>
      <c r="I114" s="44"/>
    </row>
    <row r="115" ht="25.5" customHeight="1">
      <c r="A115" s="7" t="s">
        <v>40</v>
      </c>
      <c r="B115" s="7" t="s">
        <v>45</v>
      </c>
      <c r="C115" s="42" t="s">
        <v>46</v>
      </c>
      <c r="D115" s="43"/>
      <c r="E115" s="43"/>
      <c r="F115" s="43"/>
      <c r="G115" s="43"/>
      <c r="H115" s="43"/>
      <c r="I115" s="44"/>
    </row>
    <row r="116" ht="25.5" customHeight="1">
      <c r="A116" s="7" t="s">
        <v>45</v>
      </c>
      <c r="B116" s="7" t="s">
        <v>50</v>
      </c>
      <c r="C116" s="42" t="s">
        <v>51</v>
      </c>
      <c r="D116" s="43"/>
      <c r="E116" s="43"/>
      <c r="F116" s="43"/>
      <c r="G116" s="43"/>
      <c r="H116" s="43"/>
      <c r="I116" s="44"/>
    </row>
    <row r="117" ht="25.5" customHeight="1">
      <c r="A117" s="7" t="s">
        <v>50</v>
      </c>
      <c r="B117" s="7" t="s">
        <v>58</v>
      </c>
      <c r="C117" s="42" t="s">
        <v>59</v>
      </c>
      <c r="D117" s="43"/>
      <c r="E117" s="43"/>
      <c r="F117" s="43"/>
      <c r="G117" s="43"/>
      <c r="H117" s="43"/>
      <c r="I117" s="44"/>
    </row>
    <row r="118" ht="25.5" customHeight="1">
      <c r="A118" s="7" t="s">
        <v>58</v>
      </c>
      <c r="B118" s="7" t="s">
        <v>65</v>
      </c>
      <c r="C118" s="42" t="s">
        <v>66</v>
      </c>
      <c r="D118" s="43"/>
      <c r="E118" s="43"/>
      <c r="F118" s="43"/>
      <c r="G118" s="43"/>
      <c r="H118" s="43"/>
      <c r="I118" s="44"/>
    </row>
    <row r="119" ht="25.5" customHeight="1">
      <c r="A119" s="7" t="s">
        <v>65</v>
      </c>
      <c r="B119" s="7" t="s">
        <v>73</v>
      </c>
      <c r="C119" s="42" t="s">
        <v>74</v>
      </c>
      <c r="D119" s="43"/>
      <c r="E119" s="43"/>
      <c r="F119" s="43"/>
      <c r="G119" s="43"/>
      <c r="H119" s="43"/>
      <c r="I119" s="44"/>
    </row>
    <row r="120" ht="25.5" customHeight="1">
      <c r="A120" s="7" t="s">
        <v>73</v>
      </c>
      <c r="B120" s="7" t="s">
        <v>85</v>
      </c>
      <c r="C120" s="42" t="s">
        <v>86</v>
      </c>
      <c r="D120" s="43"/>
      <c r="E120" s="43"/>
      <c r="F120" s="43"/>
      <c r="G120" s="43"/>
      <c r="H120" s="43"/>
      <c r="I120" s="44"/>
    </row>
    <row r="121" ht="25.5" customHeight="1">
      <c r="A121" s="7" t="s">
        <v>85</v>
      </c>
      <c r="B121" s="7" t="s">
        <v>92</v>
      </c>
      <c r="C121" s="42" t="s">
        <v>93</v>
      </c>
      <c r="D121" s="43"/>
      <c r="E121" s="43"/>
      <c r="F121" s="43"/>
      <c r="G121" s="43"/>
      <c r="H121" s="43"/>
      <c r="I121" s="44"/>
    </row>
    <row r="122" ht="25.5" customHeight="1">
      <c r="A122" s="7" t="s">
        <v>92</v>
      </c>
      <c r="B122" s="7" t="s">
        <v>98</v>
      </c>
      <c r="C122" s="42" t="s">
        <v>99</v>
      </c>
      <c r="D122" s="43"/>
      <c r="E122" s="43"/>
      <c r="F122" s="43"/>
      <c r="G122" s="43"/>
      <c r="H122" s="43"/>
      <c r="I122" s="44"/>
    </row>
    <row r="123" ht="42.0" customHeight="1"/>
    <row r="124" ht="24.0" customHeight="1">
      <c r="A124" s="46" t="s">
        <v>600</v>
      </c>
    </row>
    <row r="125" ht="25.5" customHeight="1">
      <c r="A125" s="47" t="s">
        <v>601</v>
      </c>
      <c r="B125" s="47" t="s">
        <v>602</v>
      </c>
      <c r="C125" s="47" t="s">
        <v>603</v>
      </c>
      <c r="D125" s="47" t="s">
        <v>604</v>
      </c>
      <c r="E125" s="47" t="s">
        <v>605</v>
      </c>
      <c r="I125" s="47" t="s">
        <v>606</v>
      </c>
    </row>
    <row r="126" ht="72.0" customHeight="1">
      <c r="A126" s="7" t="s">
        <v>607</v>
      </c>
      <c r="B126" s="7" t="s">
        <v>608</v>
      </c>
      <c r="C126" s="7" t="s">
        <v>17</v>
      </c>
      <c r="D126" s="7" t="s">
        <v>609</v>
      </c>
      <c r="E126" s="42" t="s">
        <v>610</v>
      </c>
      <c r="F126" s="43"/>
      <c r="G126" s="43"/>
      <c r="H126" s="44"/>
      <c r="I126" s="7" t="s">
        <v>611</v>
      </c>
    </row>
    <row r="127" ht="72.0" customHeight="1">
      <c r="A127" s="7" t="s">
        <v>612</v>
      </c>
      <c r="B127" s="7" t="s">
        <v>613</v>
      </c>
      <c r="C127" s="7" t="s">
        <v>614</v>
      </c>
      <c r="D127" s="7" t="s">
        <v>615</v>
      </c>
      <c r="E127" s="42" t="s">
        <v>616</v>
      </c>
      <c r="F127" s="43"/>
      <c r="G127" s="43"/>
      <c r="H127" s="44"/>
      <c r="I127" s="7" t="s">
        <v>617</v>
      </c>
    </row>
    <row r="128" ht="72.0" customHeight="1">
      <c r="A128" s="7" t="s">
        <v>618</v>
      </c>
      <c r="B128" s="7" t="s">
        <v>619</v>
      </c>
      <c r="C128" s="7" t="s">
        <v>620</v>
      </c>
      <c r="D128" s="7" t="s">
        <v>621</v>
      </c>
      <c r="E128" s="42" t="s">
        <v>622</v>
      </c>
      <c r="F128" s="43"/>
      <c r="G128" s="43"/>
      <c r="H128" s="44"/>
      <c r="I128" s="7" t="s">
        <v>623</v>
      </c>
    </row>
    <row r="129" ht="72.0" customHeight="1">
      <c r="A129" s="7" t="s">
        <v>624</v>
      </c>
      <c r="B129" s="7" t="s">
        <v>625</v>
      </c>
      <c r="C129" s="7" t="s">
        <v>626</v>
      </c>
      <c r="D129" s="7" t="s">
        <v>627</v>
      </c>
      <c r="E129" s="42" t="s">
        <v>628</v>
      </c>
      <c r="F129" s="43"/>
      <c r="G129" s="43"/>
      <c r="H129" s="44"/>
      <c r="I129" s="7" t="s">
        <v>629</v>
      </c>
    </row>
    <row r="130" ht="72.0" customHeight="1">
      <c r="A130" s="7" t="s">
        <v>630</v>
      </c>
      <c r="B130" s="7" t="s">
        <v>631</v>
      </c>
      <c r="C130" s="7" t="s">
        <v>632</v>
      </c>
      <c r="D130" s="7" t="s">
        <v>633</v>
      </c>
      <c r="E130" s="42" t="s">
        <v>634</v>
      </c>
      <c r="F130" s="43"/>
      <c r="G130" s="43"/>
      <c r="H130" s="44"/>
      <c r="I130" s="7" t="s">
        <v>635</v>
      </c>
    </row>
    <row r="131" ht="72.0" customHeight="1">
      <c r="A131" s="7" t="s">
        <v>636</v>
      </c>
      <c r="B131" s="7" t="s">
        <v>637</v>
      </c>
      <c r="C131" s="7" t="s">
        <v>638</v>
      </c>
      <c r="D131" s="7" t="s">
        <v>615</v>
      </c>
      <c r="E131" s="42" t="s">
        <v>639</v>
      </c>
      <c r="F131" s="43"/>
      <c r="G131" s="43"/>
      <c r="H131" s="44"/>
      <c r="I131" s="7" t="s">
        <v>640</v>
      </c>
    </row>
    <row r="132" ht="72.0" customHeight="1">
      <c r="A132" s="7" t="s">
        <v>641</v>
      </c>
      <c r="B132" s="7" t="s">
        <v>642</v>
      </c>
      <c r="C132" s="7" t="s">
        <v>643</v>
      </c>
      <c r="D132" s="7" t="s">
        <v>644</v>
      </c>
      <c r="E132" s="42" t="s">
        <v>645</v>
      </c>
      <c r="F132" s="43"/>
      <c r="G132" s="43"/>
      <c r="H132" s="44"/>
      <c r="I132" s="7" t="s">
        <v>646</v>
      </c>
    </row>
    <row r="133" ht="15.75" customHeight="1"/>
    <row r="134" ht="24.0" customHeight="1">
      <c r="A134" s="46" t="s">
        <v>647</v>
      </c>
    </row>
    <row r="135" ht="25.5" customHeight="1">
      <c r="A135" s="47" t="s">
        <v>648</v>
      </c>
      <c r="B135" s="47" t="s">
        <v>649</v>
      </c>
      <c r="C135" s="47" t="s">
        <v>12</v>
      </c>
      <c r="D135" s="47" t="s">
        <v>145</v>
      </c>
      <c r="E135" s="47" t="s">
        <v>650</v>
      </c>
      <c r="I135" s="47" t="s">
        <v>651</v>
      </c>
    </row>
    <row r="136" ht="46.5" customHeight="1">
      <c r="A136" s="49">
        <v>46318.0</v>
      </c>
      <c r="B136" s="7" t="s">
        <v>485</v>
      </c>
      <c r="C136" s="7" t="s">
        <v>489</v>
      </c>
      <c r="D136" s="7" t="s">
        <v>52</v>
      </c>
      <c r="E136" s="42" t="s">
        <v>58</v>
      </c>
      <c r="F136" s="43"/>
      <c r="G136" s="43"/>
      <c r="H136" s="44"/>
      <c r="I136" s="7" t="s">
        <v>652</v>
      </c>
    </row>
    <row r="137" ht="46.5" customHeight="1">
      <c r="A137" s="49">
        <v>46318.0</v>
      </c>
      <c r="B137" s="7" t="s">
        <v>492</v>
      </c>
      <c r="C137" s="7" t="s">
        <v>494</v>
      </c>
      <c r="D137" s="7" t="s">
        <v>52</v>
      </c>
      <c r="E137" s="42" t="s">
        <v>58</v>
      </c>
      <c r="F137" s="43"/>
      <c r="G137" s="43"/>
      <c r="H137" s="44"/>
      <c r="I137" s="7" t="s">
        <v>652</v>
      </c>
    </row>
    <row r="138" ht="46.5" customHeight="1">
      <c r="A138" s="49">
        <v>46318.0</v>
      </c>
      <c r="B138" s="7" t="s">
        <v>496</v>
      </c>
      <c r="C138" s="7" t="s">
        <v>498</v>
      </c>
      <c r="D138" s="7" t="s">
        <v>52</v>
      </c>
      <c r="E138" s="42" t="s">
        <v>58</v>
      </c>
      <c r="F138" s="43"/>
      <c r="G138" s="43"/>
      <c r="H138" s="44"/>
      <c r="I138" s="7" t="s">
        <v>652</v>
      </c>
    </row>
    <row r="139" ht="46.5" customHeight="1">
      <c r="A139" s="49">
        <v>46318.0</v>
      </c>
      <c r="B139" s="7" t="s">
        <v>500</v>
      </c>
      <c r="C139" s="7" t="s">
        <v>502</v>
      </c>
      <c r="D139" s="7" t="s">
        <v>288</v>
      </c>
      <c r="E139" s="42" t="s">
        <v>50</v>
      </c>
      <c r="F139" s="43"/>
      <c r="G139" s="43"/>
      <c r="H139" s="44"/>
      <c r="I139" s="7" t="s">
        <v>652</v>
      </c>
    </row>
    <row r="140" ht="46.5" customHeight="1">
      <c r="A140" s="49">
        <v>46325.0</v>
      </c>
      <c r="B140" s="7" t="s">
        <v>504</v>
      </c>
      <c r="C140" s="7" t="s">
        <v>506</v>
      </c>
      <c r="D140" s="7" t="s">
        <v>311</v>
      </c>
      <c r="E140" s="42" t="s">
        <v>171</v>
      </c>
      <c r="F140" s="43"/>
      <c r="G140" s="43"/>
      <c r="H140" s="44"/>
      <c r="I140" s="7" t="s">
        <v>652</v>
      </c>
    </row>
    <row r="141" ht="46.5" customHeight="1">
      <c r="A141" s="49">
        <v>46325.0</v>
      </c>
      <c r="B141" s="7" t="s">
        <v>508</v>
      </c>
      <c r="C141" s="7" t="s">
        <v>511</v>
      </c>
      <c r="D141" s="7" t="s">
        <v>355</v>
      </c>
      <c r="E141" s="42" t="s">
        <v>510</v>
      </c>
      <c r="F141" s="43"/>
      <c r="G141" s="43"/>
      <c r="H141" s="44"/>
      <c r="I141" s="7" t="s">
        <v>652</v>
      </c>
    </row>
    <row r="142" ht="46.5" customHeight="1">
      <c r="A142" s="49">
        <v>46325.0</v>
      </c>
      <c r="B142" s="7" t="s">
        <v>513</v>
      </c>
      <c r="C142" s="7" t="s">
        <v>515</v>
      </c>
      <c r="D142" s="7" t="s">
        <v>288</v>
      </c>
      <c r="E142" s="42" t="s">
        <v>143</v>
      </c>
      <c r="F142" s="43"/>
      <c r="G142" s="43"/>
      <c r="H142" s="44"/>
      <c r="I142" s="7" t="s">
        <v>652</v>
      </c>
    </row>
    <row r="143" ht="46.5" customHeight="1">
      <c r="A143" s="49">
        <v>46332.0</v>
      </c>
      <c r="B143" s="7" t="s">
        <v>517</v>
      </c>
      <c r="C143" s="7" t="s">
        <v>519</v>
      </c>
      <c r="D143" s="7" t="s">
        <v>303</v>
      </c>
      <c r="E143" s="42" t="s">
        <v>399</v>
      </c>
      <c r="F143" s="43"/>
      <c r="G143" s="43"/>
      <c r="H143" s="44"/>
      <c r="I143" s="7" t="s">
        <v>652</v>
      </c>
    </row>
    <row r="144" ht="46.5" customHeight="1">
      <c r="A144" s="49">
        <v>46332.0</v>
      </c>
      <c r="B144" s="7" t="s">
        <v>521</v>
      </c>
      <c r="C144" s="7" t="s">
        <v>523</v>
      </c>
      <c r="D144" s="7" t="s">
        <v>314</v>
      </c>
      <c r="E144" s="42" t="s">
        <v>394</v>
      </c>
      <c r="F144" s="43"/>
      <c r="G144" s="43"/>
      <c r="H144" s="44"/>
      <c r="I144" s="7" t="s">
        <v>652</v>
      </c>
    </row>
    <row r="145" ht="46.5" customHeight="1">
      <c r="A145" s="49">
        <v>46332.0</v>
      </c>
      <c r="B145" s="7" t="s">
        <v>525</v>
      </c>
      <c r="C145" s="7" t="s">
        <v>528</v>
      </c>
      <c r="D145" s="7" t="s">
        <v>52</v>
      </c>
      <c r="E145" s="42" t="s">
        <v>527</v>
      </c>
      <c r="F145" s="43"/>
      <c r="G145" s="43"/>
      <c r="H145" s="44"/>
      <c r="I145" s="7" t="s">
        <v>652</v>
      </c>
    </row>
    <row r="146" ht="46.5" customHeight="1">
      <c r="A146" s="49">
        <v>46339.0</v>
      </c>
      <c r="B146" s="7" t="s">
        <v>530</v>
      </c>
      <c r="C146" s="7" t="s">
        <v>532</v>
      </c>
      <c r="D146" s="7" t="s">
        <v>314</v>
      </c>
      <c r="E146" s="42" t="s">
        <v>353</v>
      </c>
      <c r="F146" s="43"/>
      <c r="G146" s="43"/>
      <c r="H146" s="44"/>
      <c r="I146" s="7" t="s">
        <v>652</v>
      </c>
    </row>
    <row r="147" ht="46.5" customHeight="1">
      <c r="A147" s="49">
        <v>46339.0</v>
      </c>
      <c r="B147" s="7" t="s">
        <v>534</v>
      </c>
      <c r="C147" s="7" t="s">
        <v>536</v>
      </c>
      <c r="D147" s="7" t="s">
        <v>314</v>
      </c>
      <c r="E147" s="42" t="s">
        <v>353</v>
      </c>
      <c r="F147" s="43"/>
      <c r="G147" s="43"/>
      <c r="H147" s="44"/>
      <c r="I147" s="7" t="s">
        <v>652</v>
      </c>
    </row>
    <row r="148" ht="46.5" customHeight="1">
      <c r="A148" s="49">
        <v>46339.0</v>
      </c>
      <c r="B148" s="7" t="s">
        <v>538</v>
      </c>
      <c r="C148" s="7" t="s">
        <v>540</v>
      </c>
      <c r="D148" s="7" t="s">
        <v>311</v>
      </c>
      <c r="E148" s="42" t="s">
        <v>404</v>
      </c>
      <c r="F148" s="43"/>
      <c r="G148" s="43"/>
      <c r="H148" s="44"/>
      <c r="I148" s="7" t="s">
        <v>652</v>
      </c>
    </row>
    <row r="149" ht="46.5" customHeight="1">
      <c r="A149" s="49">
        <v>46346.0</v>
      </c>
      <c r="B149" s="7" t="s">
        <v>542</v>
      </c>
      <c r="C149" s="7" t="s">
        <v>545</v>
      </c>
      <c r="D149" s="7" t="s">
        <v>311</v>
      </c>
      <c r="E149" s="42" t="s">
        <v>544</v>
      </c>
      <c r="F149" s="43"/>
      <c r="G149" s="43"/>
      <c r="H149" s="44"/>
      <c r="I149" s="7" t="s">
        <v>652</v>
      </c>
    </row>
    <row r="150" ht="46.5" customHeight="1">
      <c r="A150" s="49">
        <v>46346.0</v>
      </c>
      <c r="B150" s="7" t="s">
        <v>547</v>
      </c>
      <c r="C150" s="7" t="s">
        <v>549</v>
      </c>
      <c r="D150" s="7" t="s">
        <v>314</v>
      </c>
      <c r="E150" s="42" t="s">
        <v>361</v>
      </c>
      <c r="F150" s="43"/>
      <c r="G150" s="43"/>
      <c r="H150" s="44"/>
      <c r="I150" s="7" t="s">
        <v>652</v>
      </c>
    </row>
    <row r="151" ht="46.5" customHeight="1">
      <c r="A151" s="49">
        <v>46353.0</v>
      </c>
      <c r="B151" s="7" t="s">
        <v>551</v>
      </c>
      <c r="C151" s="7" t="s">
        <v>553</v>
      </c>
      <c r="D151" s="7" t="s">
        <v>311</v>
      </c>
      <c r="E151" s="42" t="s">
        <v>479</v>
      </c>
      <c r="F151" s="43"/>
      <c r="G151" s="43"/>
      <c r="H151" s="44"/>
      <c r="I151" s="7" t="s">
        <v>652</v>
      </c>
    </row>
    <row r="152" ht="46.5" customHeight="1">
      <c r="A152" s="49">
        <v>46360.0</v>
      </c>
      <c r="B152" s="7" t="s">
        <v>555</v>
      </c>
      <c r="C152" s="7" t="s">
        <v>557</v>
      </c>
      <c r="D152" s="7" t="s">
        <v>52</v>
      </c>
      <c r="E152" s="42" t="s">
        <v>450</v>
      </c>
      <c r="F152" s="43"/>
      <c r="G152" s="43"/>
      <c r="H152" s="44"/>
      <c r="I152" s="7" t="s">
        <v>652</v>
      </c>
    </row>
    <row r="153" ht="46.5" customHeight="1">
      <c r="A153" s="49">
        <v>46364.0</v>
      </c>
      <c r="B153" s="7" t="s">
        <v>559</v>
      </c>
      <c r="C153" s="7" t="s">
        <v>561</v>
      </c>
      <c r="D153" s="7" t="s">
        <v>303</v>
      </c>
      <c r="E153" s="42" t="s">
        <v>468</v>
      </c>
      <c r="F153" s="43"/>
      <c r="G153" s="43"/>
      <c r="H153" s="44"/>
      <c r="I153" s="7" t="s">
        <v>652</v>
      </c>
    </row>
    <row r="154" ht="46.5" customHeight="1">
      <c r="A154" s="49">
        <v>46364.0</v>
      </c>
      <c r="B154" s="7" t="s">
        <v>563</v>
      </c>
      <c r="C154" s="7" t="s">
        <v>566</v>
      </c>
      <c r="D154" s="7" t="s">
        <v>52</v>
      </c>
      <c r="E154" s="42" t="s">
        <v>565</v>
      </c>
      <c r="F154" s="43"/>
      <c r="G154" s="43"/>
      <c r="H154" s="44"/>
      <c r="I154" s="7" t="s">
        <v>652</v>
      </c>
    </row>
    <row r="155" ht="46.5" customHeight="1">
      <c r="A155" s="49">
        <v>46364.0</v>
      </c>
      <c r="B155" s="7" t="s">
        <v>568</v>
      </c>
      <c r="C155" s="7" t="s">
        <v>570</v>
      </c>
      <c r="D155" s="7" t="s">
        <v>303</v>
      </c>
      <c r="E155" s="42" t="s">
        <v>468</v>
      </c>
      <c r="F155" s="43"/>
      <c r="G155" s="43"/>
      <c r="H155" s="44"/>
      <c r="I155" s="7" t="s">
        <v>652</v>
      </c>
    </row>
    <row r="156" ht="46.5" customHeight="1">
      <c r="A156" s="49">
        <v>46364.0</v>
      </c>
      <c r="B156" s="7" t="s">
        <v>572</v>
      </c>
      <c r="C156" s="7" t="s">
        <v>575</v>
      </c>
      <c r="D156" s="7" t="s">
        <v>52</v>
      </c>
      <c r="E156" s="42" t="s">
        <v>574</v>
      </c>
      <c r="F156" s="43"/>
      <c r="G156" s="43"/>
      <c r="H156" s="44"/>
      <c r="I156" s="7" t="s">
        <v>652</v>
      </c>
    </row>
    <row r="157" ht="15.75" customHeight="1"/>
    <row r="158" ht="24.0" customHeight="1">
      <c r="A158" s="46" t="s">
        <v>654</v>
      </c>
    </row>
    <row r="159" ht="25.5" customHeight="1">
      <c r="A159" s="47" t="s">
        <v>655</v>
      </c>
      <c r="B159" s="47" t="s">
        <v>656</v>
      </c>
      <c r="C159" s="47" t="s">
        <v>657</v>
      </c>
      <c r="D159" s="47" t="s">
        <v>658</v>
      </c>
      <c r="E159" s="47" t="s">
        <v>659</v>
      </c>
      <c r="I159" s="47" t="s">
        <v>606</v>
      </c>
    </row>
    <row r="160" ht="73.5" customHeight="1">
      <c r="A160" s="7" t="s">
        <v>660</v>
      </c>
      <c r="B160" s="7" t="s">
        <v>661</v>
      </c>
      <c r="C160" s="7" t="s">
        <v>662</v>
      </c>
      <c r="D160" s="7" t="s">
        <v>663</v>
      </c>
      <c r="E160" s="42" t="s">
        <v>664</v>
      </c>
      <c r="F160" s="43"/>
      <c r="G160" s="43"/>
      <c r="H160" s="44"/>
      <c r="I160" s="7" t="s">
        <v>665</v>
      </c>
    </row>
    <row r="161" ht="73.5" customHeight="1">
      <c r="A161" s="7" t="s">
        <v>666</v>
      </c>
      <c r="B161" s="7" t="s">
        <v>667</v>
      </c>
      <c r="C161" s="7" t="s">
        <v>668</v>
      </c>
      <c r="D161" s="7" t="s">
        <v>669</v>
      </c>
      <c r="E161" s="42" t="s">
        <v>670</v>
      </c>
      <c r="F161" s="43"/>
      <c r="G161" s="43"/>
      <c r="H161" s="44"/>
      <c r="I161" s="7" t="s">
        <v>652</v>
      </c>
    </row>
    <row r="162" ht="73.5" customHeight="1">
      <c r="A162" s="7" t="s">
        <v>671</v>
      </c>
      <c r="B162" s="7" t="s">
        <v>672</v>
      </c>
      <c r="C162" s="7" t="s">
        <v>673</v>
      </c>
      <c r="D162" s="7" t="s">
        <v>663</v>
      </c>
      <c r="E162" s="42" t="s">
        <v>674</v>
      </c>
      <c r="F162" s="43"/>
      <c r="G162" s="43"/>
      <c r="H162" s="44"/>
      <c r="I162" s="7" t="s">
        <v>652</v>
      </c>
    </row>
    <row r="163" ht="73.5" customHeight="1">
      <c r="A163" s="7" t="s">
        <v>675</v>
      </c>
      <c r="B163" s="7" t="s">
        <v>676</v>
      </c>
      <c r="C163" s="7" t="s">
        <v>677</v>
      </c>
      <c r="D163" s="7" t="s">
        <v>678</v>
      </c>
      <c r="E163" s="42" t="s">
        <v>679</v>
      </c>
      <c r="F163" s="43"/>
      <c r="G163" s="43"/>
      <c r="H163" s="44"/>
      <c r="I163" s="7" t="s">
        <v>680</v>
      </c>
    </row>
    <row r="164" ht="73.5" customHeight="1">
      <c r="A164" s="7" t="s">
        <v>681</v>
      </c>
      <c r="B164" s="7" t="s">
        <v>682</v>
      </c>
      <c r="C164" s="7" t="s">
        <v>683</v>
      </c>
      <c r="D164" s="7" t="s">
        <v>684</v>
      </c>
      <c r="E164" s="42" t="s">
        <v>685</v>
      </c>
      <c r="F164" s="43"/>
      <c r="G164" s="43"/>
      <c r="H164" s="44"/>
      <c r="I164" s="7" t="s">
        <v>686</v>
      </c>
    </row>
    <row r="165" ht="73.5" customHeight="1">
      <c r="A165" s="7" t="s">
        <v>687</v>
      </c>
      <c r="B165" s="7" t="s">
        <v>688</v>
      </c>
      <c r="C165" s="7" t="s">
        <v>689</v>
      </c>
      <c r="D165" s="7" t="s">
        <v>690</v>
      </c>
      <c r="E165" s="42" t="s">
        <v>691</v>
      </c>
      <c r="F165" s="43"/>
      <c r="G165" s="43"/>
      <c r="H165" s="44"/>
      <c r="I165" s="7" t="s">
        <v>686</v>
      </c>
    </row>
    <row r="166" ht="73.5" customHeight="1">
      <c r="A166" s="7" t="s">
        <v>692</v>
      </c>
      <c r="B166" s="7" t="s">
        <v>693</v>
      </c>
      <c r="C166" s="7" t="s">
        <v>694</v>
      </c>
      <c r="D166" s="7" t="s">
        <v>663</v>
      </c>
      <c r="E166" s="42" t="s">
        <v>695</v>
      </c>
      <c r="F166" s="43"/>
      <c r="G166" s="43"/>
      <c r="H166" s="44"/>
      <c r="I166" s="7" t="s">
        <v>696</v>
      </c>
    </row>
    <row r="167" ht="73.5" customHeight="1">
      <c r="A167" s="7" t="s">
        <v>697</v>
      </c>
      <c r="B167" s="7" t="s">
        <v>698</v>
      </c>
      <c r="C167" s="7" t="s">
        <v>699</v>
      </c>
      <c r="D167" s="7" t="s">
        <v>678</v>
      </c>
      <c r="E167" s="42" t="s">
        <v>700</v>
      </c>
      <c r="F167" s="43"/>
      <c r="G167" s="43"/>
      <c r="H167" s="44"/>
      <c r="I167" s="7" t="s">
        <v>701</v>
      </c>
    </row>
    <row r="168" ht="15.75" customHeight="1"/>
    <row r="169" ht="24.0" customHeight="1">
      <c r="A169" s="46" t="s">
        <v>702</v>
      </c>
    </row>
    <row r="170" ht="25.5" customHeight="1">
      <c r="A170" s="47" t="s">
        <v>606</v>
      </c>
      <c r="B170" s="47" t="s">
        <v>703</v>
      </c>
      <c r="C170" s="47" t="s">
        <v>704</v>
      </c>
      <c r="D170" s="47" t="s">
        <v>705</v>
      </c>
    </row>
    <row r="171" ht="45.0" customHeight="1">
      <c r="A171" s="7" t="s">
        <v>611</v>
      </c>
      <c r="B171" s="7" t="s">
        <v>706</v>
      </c>
      <c r="C171" s="7" t="s">
        <v>707</v>
      </c>
      <c r="D171" s="50" t="s">
        <v>708</v>
      </c>
      <c r="E171" s="43"/>
      <c r="F171" s="43"/>
      <c r="G171" s="43"/>
      <c r="H171" s="43"/>
      <c r="I171" s="44"/>
    </row>
    <row r="172" ht="45.0" customHeight="1">
      <c r="A172" s="7" t="s">
        <v>617</v>
      </c>
      <c r="B172" s="7" t="s">
        <v>709</v>
      </c>
      <c r="C172" s="7" t="s">
        <v>710</v>
      </c>
      <c r="D172" s="50" t="s">
        <v>711</v>
      </c>
      <c r="E172" s="43"/>
      <c r="F172" s="43"/>
      <c r="G172" s="43"/>
      <c r="H172" s="43"/>
      <c r="I172" s="44"/>
    </row>
    <row r="173" ht="45.0" customHeight="1">
      <c r="A173" s="7" t="s">
        <v>623</v>
      </c>
      <c r="B173" s="7" t="s">
        <v>712</v>
      </c>
      <c r="C173" s="7" t="s">
        <v>713</v>
      </c>
      <c r="D173" s="50" t="s">
        <v>714</v>
      </c>
      <c r="E173" s="43"/>
      <c r="F173" s="43"/>
      <c r="G173" s="43"/>
      <c r="H173" s="43"/>
      <c r="I173" s="44"/>
    </row>
    <row r="174" ht="45.0" customHeight="1">
      <c r="A174" s="7" t="s">
        <v>629</v>
      </c>
      <c r="B174" s="7" t="s">
        <v>715</v>
      </c>
      <c r="C174" s="7" t="s">
        <v>716</v>
      </c>
      <c r="D174" s="50" t="s">
        <v>717</v>
      </c>
      <c r="E174" s="43"/>
      <c r="F174" s="43"/>
      <c r="G174" s="43"/>
      <c r="H174" s="43"/>
      <c r="I174" s="44"/>
    </row>
    <row r="175" ht="45.0" customHeight="1">
      <c r="A175" s="7" t="s">
        <v>718</v>
      </c>
      <c r="B175" s="7" t="s">
        <v>719</v>
      </c>
      <c r="C175" s="7" t="s">
        <v>720</v>
      </c>
      <c r="D175" s="50" t="s">
        <v>721</v>
      </c>
      <c r="E175" s="43"/>
      <c r="F175" s="43"/>
      <c r="G175" s="43"/>
      <c r="H175" s="43"/>
      <c r="I175" s="44"/>
    </row>
    <row r="176" ht="45.0" customHeight="1">
      <c r="A176" s="7" t="s">
        <v>722</v>
      </c>
      <c r="B176" s="7" t="s">
        <v>719</v>
      </c>
      <c r="C176" s="7" t="s">
        <v>723</v>
      </c>
      <c r="D176" s="50" t="s">
        <v>724</v>
      </c>
      <c r="E176" s="43"/>
      <c r="F176" s="43"/>
      <c r="G176" s="43"/>
      <c r="H176" s="43"/>
      <c r="I176" s="44"/>
    </row>
    <row r="177" ht="45.0" customHeight="1">
      <c r="A177" s="7" t="s">
        <v>725</v>
      </c>
      <c r="B177" s="7" t="s">
        <v>719</v>
      </c>
      <c r="C177" s="7" t="s">
        <v>726</v>
      </c>
      <c r="D177" s="50" t="s">
        <v>727</v>
      </c>
      <c r="E177" s="43"/>
      <c r="F177" s="43"/>
      <c r="G177" s="43"/>
      <c r="H177" s="43"/>
      <c r="I177" s="44"/>
    </row>
    <row r="178" ht="45.0" customHeight="1">
      <c r="A178" s="7" t="s">
        <v>640</v>
      </c>
      <c r="B178" s="7" t="s">
        <v>728</v>
      </c>
      <c r="C178" s="7" t="s">
        <v>729</v>
      </c>
      <c r="D178" s="50" t="s">
        <v>730</v>
      </c>
      <c r="E178" s="43"/>
      <c r="F178" s="43"/>
      <c r="G178" s="43"/>
      <c r="H178" s="43"/>
      <c r="I178" s="44"/>
    </row>
    <row r="179" ht="45.0" customHeight="1">
      <c r="A179" s="7" t="s">
        <v>665</v>
      </c>
      <c r="B179" s="7" t="s">
        <v>731</v>
      </c>
      <c r="C179" s="7" t="s">
        <v>732</v>
      </c>
      <c r="D179" s="50" t="s">
        <v>733</v>
      </c>
      <c r="E179" s="43"/>
      <c r="F179" s="43"/>
      <c r="G179" s="43"/>
      <c r="H179" s="43"/>
      <c r="I179" s="44"/>
    </row>
    <row r="180" ht="45.0" customHeight="1">
      <c r="A180" s="7" t="s">
        <v>734</v>
      </c>
      <c r="B180" s="7" t="s">
        <v>735</v>
      </c>
      <c r="C180" s="7" t="s">
        <v>736</v>
      </c>
      <c r="D180" s="50" t="s">
        <v>737</v>
      </c>
      <c r="E180" s="43"/>
      <c r="F180" s="43"/>
      <c r="G180" s="43"/>
      <c r="H180" s="43"/>
      <c r="I180" s="44"/>
    </row>
    <row r="181" ht="45.0" customHeight="1">
      <c r="A181" s="7" t="s">
        <v>738</v>
      </c>
      <c r="B181" s="7" t="s">
        <v>739</v>
      </c>
      <c r="C181" s="7" t="s">
        <v>740</v>
      </c>
      <c r="D181" s="50" t="s">
        <v>741</v>
      </c>
      <c r="E181" s="43"/>
      <c r="F181" s="43"/>
      <c r="G181" s="43"/>
      <c r="H181" s="43"/>
      <c r="I181" s="44"/>
    </row>
    <row r="182" ht="45.0" customHeight="1">
      <c r="A182" s="7" t="s">
        <v>686</v>
      </c>
      <c r="B182" s="7" t="s">
        <v>742</v>
      </c>
      <c r="C182" s="7" t="s">
        <v>743</v>
      </c>
      <c r="D182" s="50" t="s">
        <v>744</v>
      </c>
      <c r="E182" s="43"/>
      <c r="F182" s="43"/>
      <c r="G182" s="43"/>
      <c r="H182" s="43"/>
      <c r="I182" s="44"/>
    </row>
    <row r="183" ht="45.0" customHeight="1">
      <c r="A183" s="7" t="s">
        <v>745</v>
      </c>
      <c r="B183" s="7" t="s">
        <v>742</v>
      </c>
      <c r="C183" s="7" t="s">
        <v>746</v>
      </c>
      <c r="D183" s="50" t="s">
        <v>747</v>
      </c>
      <c r="E183" s="43"/>
      <c r="F183" s="43"/>
      <c r="G183" s="43"/>
      <c r="H183" s="43"/>
      <c r="I183" s="44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E153:H153"/>
    <mergeCell ref="E154:H154"/>
    <mergeCell ref="E155:H155"/>
    <mergeCell ref="E156:H156"/>
    <mergeCell ref="A158:I158"/>
    <mergeCell ref="E159:H159"/>
    <mergeCell ref="E160:H160"/>
    <mergeCell ref="E161:H161"/>
    <mergeCell ref="E162:H162"/>
    <mergeCell ref="E163:H163"/>
    <mergeCell ref="E164:H164"/>
    <mergeCell ref="E165:H165"/>
    <mergeCell ref="E166:H166"/>
    <mergeCell ref="E167:H167"/>
    <mergeCell ref="D176:I176"/>
    <mergeCell ref="D177:I177"/>
    <mergeCell ref="D178:I178"/>
    <mergeCell ref="D179:I179"/>
    <mergeCell ref="D180:I180"/>
    <mergeCell ref="D181:I181"/>
    <mergeCell ref="D182:I182"/>
    <mergeCell ref="D183:I183"/>
    <mergeCell ref="A169:I169"/>
    <mergeCell ref="D170:I170"/>
    <mergeCell ref="D171:I171"/>
    <mergeCell ref="D172:I172"/>
    <mergeCell ref="D173:I173"/>
    <mergeCell ref="D174:I174"/>
    <mergeCell ref="D175:I175"/>
    <mergeCell ref="C99:I99"/>
    <mergeCell ref="C100:I100"/>
    <mergeCell ref="C101:I101"/>
    <mergeCell ref="C102:I102"/>
    <mergeCell ref="C103:I103"/>
    <mergeCell ref="C104:I104"/>
    <mergeCell ref="C105:I105"/>
    <mergeCell ref="A109:I109"/>
    <mergeCell ref="C110:I110"/>
    <mergeCell ref="C111:I111"/>
    <mergeCell ref="C112:I112"/>
    <mergeCell ref="C113:I113"/>
    <mergeCell ref="C114:I114"/>
    <mergeCell ref="C115:I115"/>
    <mergeCell ref="C116:I116"/>
    <mergeCell ref="C117:I117"/>
    <mergeCell ref="C118:I118"/>
    <mergeCell ref="C119:I119"/>
    <mergeCell ref="C120:I120"/>
    <mergeCell ref="C121:I121"/>
    <mergeCell ref="C122:I122"/>
    <mergeCell ref="A124:I124"/>
    <mergeCell ref="E125:H125"/>
    <mergeCell ref="E126:H126"/>
    <mergeCell ref="E127:H127"/>
    <mergeCell ref="E128:H128"/>
    <mergeCell ref="E129:H129"/>
    <mergeCell ref="E130:H130"/>
    <mergeCell ref="E131:H131"/>
    <mergeCell ref="E132:H132"/>
    <mergeCell ref="A134:I134"/>
    <mergeCell ref="E135:H135"/>
    <mergeCell ref="E136:H136"/>
    <mergeCell ref="E137:H137"/>
    <mergeCell ref="E138:H138"/>
    <mergeCell ref="E139:H139"/>
    <mergeCell ref="E140:H140"/>
    <mergeCell ref="E141:H141"/>
    <mergeCell ref="E142:H142"/>
    <mergeCell ref="E143:H143"/>
    <mergeCell ref="E144:H144"/>
    <mergeCell ref="E145:H145"/>
    <mergeCell ref="E146:H146"/>
    <mergeCell ref="E147:H147"/>
    <mergeCell ref="E148:H148"/>
    <mergeCell ref="E149:H149"/>
    <mergeCell ref="E150:H150"/>
    <mergeCell ref="E151:H151"/>
    <mergeCell ref="E152:H152"/>
  </mergeCells>
  <printOptions/>
  <pageMargins bottom="0.75" footer="0.0" header="0.0" left="0.7" right="0.7" top="0.75"/>
  <pageSetup orientation="landscape"/>
  <drawing r:id="rId1"/>
</worksheet>
</file>