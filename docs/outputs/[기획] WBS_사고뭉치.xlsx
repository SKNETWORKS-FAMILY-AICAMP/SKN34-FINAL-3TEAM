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762730be9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트1" sheetId="1" r:id="R5fee2755dacc4f99"/>
    <x:sheet xmlns:r="http://schemas.openxmlformats.org/officeDocument/2006/relationships" name="작업 상세" sheetId="2" r:id="R64ab441824fe449d"/>
  </x:sheets>
</x:workbook>
</file>

<file path=xl/sharedStrings.xml><?xml version="1.0" encoding="utf-8"?>
<x:sst xmlns:x="http://schemas.openxmlformats.org/spreadsheetml/2006/main">
  <x:si>
    <x:t xml:space="preserve">사고뭉치 WBS</x:t>
  </x:si>
  <x:si>
    <x:t xml:space="preserve">프로젝트 이름</x:t>
  </x:si>
  <x:si>
    <x:t xml:space="preserve">사고뭉치</x:t>
  </x:si>
  <x:si>
    <x:t xml:space="preserve">프로젝트 시작</x:t>
  </x:si>
  <x:si>
    <x:t xml:space="preserve">프로젝트 마감</x:t>
  </x:si>
  <x:si>
    <x:t xml:space="preserve">프로젝트 관리자</x:t>
  </x:si>
  <x:si>
    <x:t xml:space="preserve">김태윤</x:t>
  </x:si>
  <x:si>
    <x:t xml:space="preserve">작성 기준일</x:t>
  </x:si>
  <x:si>
    <x:t xml:space="preserve">전체 일정일</x:t>
  </x:si>
  <x:si>
    <x:t xml:space="preserve">작업 계획</x:t>
  </x:si>
  <x:si>
    <x:t xml:space="preserve">WBS 번호</x:t>
  </x:si>
  <x:si>
    <x:t xml:space="preserve">작업 제목</x:t>
  </x:si>
  <x:si>
    <x:t xml:space="preserve">주 담당</x:t>
  </x:si>
  <x:si>
    <x:t xml:space="preserve">시작일</x:t>
  </x:si>
  <x:si>
    <x:t xml:space="preserve">마감일</x:t>
  </x:si>
  <x:si>
    <x:t xml:space="preserve">기간
(일정일)</x:t>
  </x:si>
  <x:si>
    <x:t xml:space="preserve">사고뭉치 WBS 작업 상세</x:t>
  </x:si>
  <x:si>
    <x:t xml:space="preserve">단계</x:t>
  </x:si>
  <x:si>
    <x:t xml:space="preserve">주 담당·협업자</x:t>
  </x:si>
  <x:si>
    <x:t xml:space="preserve">선행 작업</x:t>
  </x:si>
  <x:si>
    <x:t xml:space="preserve">관련 기능 ID</x:t>
  </x:si>
  <x:si>
    <x:t xml:space="preserve">산출물</x:t>
  </x:si>
  <x:si>
    <x:t xml:space="preserve">완료 조건</x:t>
  </x:si>
  <x:si>
    <x:t xml:space="preserve">범위·정책·유의사항</x:t>
  </x:si>
</x:sst>
</file>

<file path=xl/styles.xml><?xml version="1.0" encoding="utf-8"?>
<x:styleSheet xmlns:x="http://schemas.openxmlformats.org/spreadsheetml/2006/main">
  <x:numFmts count="7">
    <x:numFmt numFmtId="164" formatCode="yyyy-mm-dd"/>
    <x:numFmt numFmtId="165" formatCode="0&quot;일&quot;"/>
    <x:numFmt numFmtId="166" formatCode="d"/>
    <x:numFmt numFmtId="167" formatCode="mm/dd"/>
    <x:numFmt numFmtId="200" formatCode="m/d"/>
    <x:numFmt numFmtId="201" formatCode="0%"/>
    <x:numFmt numFmtId="202" formatCode="@"/>
  </x:numFmts>
  <x:fonts count="51">
    <x:font>
      <x:sz val="10"/>
      <x:color rgb="FF000000"/>
      <x:name val="Arial"/>
      <x:scheme val="minor"/>
    </x:font>
    <x:font>
      <x:sz val="10"/>
      <x:color rgb="FF222222"/>
      <x:name val="Arial"/>
    </x:font>
    <x:font>
      <x:b/>
      <x:sz val="15"/>
      <x:color rgb="FF0B5394"/>
      <x:name val="Arial"/>
    </x:font>
    <x:font>
      <x:sz val="9"/>
      <x:color rgb="FF555555"/>
      <x:name val="Arial"/>
    </x:font>
    <x:font>
      <x:b/>
      <x:sz val="10"/>
      <x:color rgb="FFFFFFFF"/>
      <x:name val="Arial"/>
    </x:font>
    <x:font>
      <x:b/>
      <x:sz val="18"/>
      <x:color rgb="FF0B5394"/>
      <x:name val="Arial"/>
    </x:font>
    <x:font>
      <x:sz val="10"/>
      <x:color rgb="FF0B5394"/>
      <x:name val="Arial"/>
    </x:font>
    <x:font>
      <x:b/>
      <x:sz val="8"/>
      <x:color rgb="FF222222"/>
      <x:name val="Arial"/>
    </x:font>
    <x:font/>
    <x:font>
      <x:b/>
      <x:sz val="10"/>
      <x:color rgb="FF222222"/>
      <x:name val="Arial"/>
    </x:font>
    <x:font>
      <x:sz val="9"/>
      <x:color rgb="FF222222"/>
      <x:name val="Arial"/>
    </x:font>
    <x:font>
      <x:b/>
      <x:sz val="12"/>
      <x:color rgb="FF0B5394"/>
      <x:name val="Arial"/>
    </x:font>
    <x:font>
      <x:sz val="9"/>
      <x:color rgb="FF7F6000"/>
      <x:name val="Arial"/>
    </x:font>
    <x:font>
      <x:sz val="10"/>
      <x:color rgb="FF0563C1"/>
      <x:name val="Arial"/>
    </x:font>
    <x:font>
      <x:color rgb="FF000000"/>
      <x:name val="Arial"/>
    </x:font>
    <x:font>
      <x:b/>
      <x:color rgb="FF233247"/>
      <x:name val="Arial"/>
    </x:font>
    <x:font>
      <x:b/>
      <x:sz val="10"/>
      <x:color rgb="FFFFFFFF"/>
      <x:name val="Arial"/>
      <x:scheme val="minor"/>
    </x:font>
    <x:font>
      <x:b/>
      <x:sz val="8"/>
      <x:color rgb="FF273848"/>
      <x:name val="Arial"/>
    </x:font>
    <x:font>
      <x:b/>
      <x:color rgb="FF273848"/>
    </x:font>
    <x:font>
      <x:b/>
      <x:sz val="10"/>
      <x:color rgb="FF273848"/>
      <x:name val="Arial"/>
      <x:scheme val="minor"/>
    </x:font>
    <x:font>
      <x:sz val="10"/>
      <x:color rgb="FF727B85"/>
      <x:name val="Arial"/>
    </x:font>
    <x:font>
      <x:b/>
      <x:sz val="10"/>
      <x:color rgb="FF155D98"/>
      <x:name val="Arial"/>
    </x:font>
    <x:font>
      <x:b/>
      <x:sz val="10"/>
      <x:color rgb="FF242424"/>
      <x:name val="맑은 고딕"/>
    </x:font>
    <x:font>
      <x:sz val="10"/>
      <x:color rgb="FF242424"/>
      <x:name val="맑은 고딕"/>
    </x:font>
    <x:font>
      <x:sz val="10"/>
      <x:color rgb="FF242424"/>
      <x:name val="맑은 고딕"/>
      <x:scheme val="minor"/>
    </x:font>
    <x:font>
      <x:b/>
      <x:sz val="10"/>
      <x:color rgb="FF727B85"/>
      <x:name val="맑은 고딕"/>
    </x:font>
    <x:font>
      <x:sz val="10"/>
      <x:color rgb="FF727B85"/>
      <x:name val="맑은 고딕"/>
    </x:font>
    <x:font>
      <x:sz val="10"/>
      <x:color rgb="FF727B85"/>
      <x:name val="맑은 고딕"/>
      <x:scheme val="minor"/>
    </x:font>
    <x:font>
      <x:b/>
      <x:sz val="10"/>
      <x:color rgb="FF243342"/>
      <x:name val="맑은 고딕"/>
    </x:font>
    <x:font>
      <x:b/>
      <x:sz val="10"/>
      <x:color rgb="FF595959"/>
      <x:name val="맑은 고딕"/>
    </x:font>
    <x:font>
      <x:b/>
      <x:sz val="10"/>
      <x:color rgb="FF243342"/>
      <x:name val="맑은 고딕"/>
      <x:scheme val="minor"/>
    </x:font>
    <x:font>
      <x:sz val="10"/>
      <x:color rgb="FF242424"/>
      <x:name val="맑은 고딕"/>
    </x:font>
    <x:font>
      <x:sz val="10"/>
      <x:color rgb="FF242424"/>
      <x:name val="맑은 고딕"/>
      <x:scheme val="minor"/>
    </x:font>
    <x:font>
      <x:sz val="10"/>
      <x:color rgb="FF727B85"/>
      <x:name val="맑은 고딕"/>
    </x:font>
    <x:font>
      <x:sz val="10"/>
      <x:color rgb="FF727B85"/>
      <x:name val="맑은 고딕"/>
      <x:scheme val="minor"/>
    </x:font>
    <x:font>
      <x:sz val="10"/>
      <x:color rgb="FF242424"/>
      <x:name val="맑은 고딕"/>
    </x:font>
    <x:font>
      <x:sz val="10"/>
      <x:color rgb="FF242424"/>
      <x:name val="맑은 고딕"/>
      <x:scheme val="minor"/>
    </x:font>
    <x:font>
      <x:sz val="10"/>
      <x:color rgb="FF727B85"/>
      <x:name val="맑은 고딕"/>
    </x:font>
    <x:font>
      <x:sz val="10"/>
      <x:color rgb="FF727B85"/>
      <x:name val="맑은 고딕"/>
      <x:scheme val="minor"/>
    </x:font>
    <x:font>
      <x:sz val="10"/>
      <x:color rgb="FF242424"/>
      <x:name val="맑은 고딕"/>
    </x:font>
    <x:font>
      <x:sz val="10"/>
      <x:color rgb="FF242424"/>
      <x:name val="맑은 고딕"/>
      <x:scheme val="minor"/>
    </x:font>
    <x:font>
      <x:sz val="10"/>
      <x:color rgb="FF727B85"/>
      <x:name val="맑은 고딕"/>
    </x:font>
    <x:font>
      <x:sz val="10"/>
      <x:color rgb="FF727B85"/>
      <x:name val="맑은 고딕"/>
      <x:scheme val="minor"/>
    </x:font>
    <x:font>
      <x:sz val="10"/>
      <x:color rgb="FF242424"/>
      <x:name val="맑은 고딕"/>
    </x:font>
    <x:font>
      <x:sz val="10"/>
      <x:color rgb="FF242424"/>
      <x:name val="맑은 고딕"/>
      <x:scheme val="minor"/>
    </x:font>
    <x:font>
      <x:sz val="10"/>
      <x:color rgb="FF727B85"/>
      <x:name val="맑은 고딕"/>
    </x:font>
    <x:font>
      <x:sz val="10"/>
      <x:color rgb="FF727B85"/>
      <x:name val="맑은 고딕"/>
      <x:scheme val="minor"/>
    </x:font>
    <x:font>
      <x:sz val="10"/>
      <x:color rgb="FF242424"/>
      <x:name val="맑은 고딕"/>
    </x:font>
    <x:font>
      <x:sz val="10"/>
      <x:color rgb="FF242424"/>
      <x:name val="맑은 고딕"/>
      <x:scheme val="minor"/>
    </x:font>
    <x:font>
      <x:sz val="10"/>
      <x:color rgb="FF727B85"/>
      <x:name val="맑은 고딕"/>
    </x:font>
    <x:font>
      <x:b/>
      <x:sz val="10"/>
      <x:color rgb="FF595959"/>
      <x:name val="맑은 고딕"/>
      <x:scheme val="minor"/>
    </x:font>
  </x:fonts>
  <x:fills count="51">
    <x:fill>
      <x:patternFill patternType="none"/>
    </x:fill>
    <x:fill>
      <x:patternFill patternType="lightGray"/>
    </x:fill>
    <x:fill>
      <x:patternFill patternType="solid">
        <x:fgColor rgb="FF0B5394"/>
      </x:patternFill>
    </x:fill>
    <x:fill>
      <x:patternFill patternType="solid">
        <x:fgColor rgb="FF45818E"/>
      </x:patternFill>
    </x:fill>
    <x:fill>
      <x:patternFill patternType="solid">
        <x:fgColor rgb="FF3D85C6"/>
      </x:patternFill>
    </x:fill>
    <x:fill>
      <x:patternFill patternType="solid">
        <x:fgColor rgb="FF674EA7"/>
      </x:patternFill>
    </x:fill>
    <x:fill>
      <x:patternFill patternType="solid">
        <x:fgColor rgb="FFEEF4F8"/>
      </x:patternFill>
    </x:fill>
    <x:fill>
      <x:patternFill patternType="solid">
        <x:fgColor rgb="FFE7EDF3"/>
      </x:patternFill>
    </x:fill>
    <x:fill>
      <x:patternFill patternType="solid">
        <x:fgColor rgb="FFD9D9D9"/>
      </x:patternFill>
    </x:fill>
    <x:fill>
      <x:patternFill patternType="solid">
        <x:fgColor rgb="FFDDE3E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CE3E8"/>
      </x:patternFill>
    </x:fill>
    <x:fill>
      <x:patternFill patternType="solid">
        <x:fgColor rgb="FF145D98"/>
      </x:patternFill>
    </x:fill>
    <x:fill>
      <x:patternFill patternType="solid">
        <x:fgColor rgb="FFEDF3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CE3E8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  <x:fill>
      <x:patternFill patternType="solid">
        <x:fgColor rgb="FFEDF3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CE3E8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  <x:fill>
      <x:patternFill patternType="solid">
        <x:fgColor rgb="FFEDF3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CE3E8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  <x:fill>
      <x:patternFill patternType="solid">
        <x:fgColor rgb="FFEDF3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CE3E8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  <x:fill>
      <x:patternFill patternType="solid">
        <x:fgColor rgb="FFEDF3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CE3E8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  <x:fill>
      <x:patternFill patternType="solid">
        <x:fgColor rgb="FFEDF3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CE3E8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  <x:fill>
      <x:patternFill patternType="solid">
        <x:fgColor rgb="FFEDF3F7"/>
      </x:patternFill>
    </x:fill>
  </x:fills>
  <x:borders count="11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BAC4CE"/>
      </x:left>
      <x:top style="thin">
        <x:color rgb="FFBAC4CE"/>
      </x:top>
      <x:bottom style="thin">
        <x:color rgb="FFBAC4CE"/>
      </x:bottom>
    </x:border>
    <x:border>
      <x:top style="thin">
        <x:color rgb="FFBAC4CE"/>
      </x:top>
      <x:bottom style="thin">
        <x:color rgb="FFBAC4CE"/>
      </x:bottom>
    </x:border>
    <x:border>
      <x:right style="thin">
        <x:color rgb="FFBAC4CE"/>
      </x:right>
      <x:top style="thin">
        <x:color rgb="FFBAC4CE"/>
      </x:top>
      <x:bottom style="thin">
        <x:color rgb="FFBAC4CE"/>
      </x:bottom>
    </x:border>
    <x:border>
      <x:left style="thin">
        <x:color rgb="FFBAC4CE"/>
      </x:left>
      <x:right style="thin">
        <x:color rgb="FFBAC4CE"/>
      </x:right>
      <x:top style="thin">
        <x:color rgb="FFBAC4CE"/>
      </x:top>
      <x:bottom style="thin">
        <x:color rgb="FFBAC4CE"/>
      </x:bottom>
    </x:border>
    <x:border>
      <x:left style="thin">
        <x:color rgb="FFC4C4C4"/>
      </x:left>
      <x:right style="thin">
        <x:color rgb="FFC4C4C4"/>
      </x:right>
      <x:top style="thin">
        <x:color rgb="FFC4C4C4"/>
      </x:top>
      <x:bottom style="thin">
        <x:color rgb="FFC4C4C4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CCD5DF"/>
      </x:left>
      <x:right style="thin">
        <x:color rgb="FFCCD5DF"/>
      </x:right>
      <x:top style="thin">
        <x:color rgb="FFCCD5DF"/>
      </x:top>
      <x:bottom style="thin">
        <x:color rgb="FFCCD5DF"/>
      </x:bottom>
    </x:border>
  </x:borders>
  <x:cellStyleXfs count="1">
    <x:xf numFmtId="0" fontId="0" fillId="0" borderId="0" applyFont="1" applyAlignment="1"/>
  </x:cellStyleXfs>
  <x:cellXfs count="939">
    <x:xf numFmtId="0" fontId="0" fillId="0" borderId="0" xfId="0" applyFont="1" applyAlignment="1">
      <x:alignment vertical="bottom" wrapText="0" shrinkToFit="0"/>
    </x:xf>
    <x:xf numFmtId="0" fontId="2" fillId="0" borderId="0" xfId="0" applyFont="1" applyAlignment="1">
      <x:alignment vertical="bottom" wrapText="0" shrinkToFit="0"/>
    </x:xf>
    <x:xf numFmtId="0" fontId="1" fillId="0" borderId="0" xfId="0" applyFont="1" applyAlignment="1">
      <x:alignment vertical="bottom" wrapText="0" shrinkToFit="0"/>
    </x:xf>
    <x:xf numFmtId="0" fontId="3" fillId="0" borderId="0" xfId="0" applyFont="1" applyAlignment="1">
      <x:alignment vertical="bottom" wrapText="0" shrinkToFit="0"/>
    </x:xf>
    <x:xf numFmtId="0" fontId="4" fillId="2" borderId="1" xfId="0" applyFont="1" applyFill="1" applyBorder="1" applyAlignment="1">
      <x:alignment horizontal="center" vertical="center" wrapText="1" shrinkToFit="0"/>
    </x:xf>
    <x:xf numFmtId="49" fontId="1" fillId="0" borderId="1" xfId="0" applyNumberFormat="1" applyFont="1" applyBorder="1" applyAlignment="1">
      <x:alignment horizontal="center" vertical="center" wrapText="1" shrinkToFit="0"/>
    </x:xf>
    <x:xf numFmtId="0" fontId="1" fillId="0" borderId="1" xfId="0" applyFont="1" applyBorder="1" applyAlignment="1">
      <x:alignment horizontal="center" vertical="center" wrapText="1" shrinkToFit="0"/>
    </x:xf>
    <x:xf numFmtId="0" fontId="1" fillId="0" borderId="1" xfId="0" applyFont="1" applyBorder="1" applyAlignment="1">
      <x:alignment vertical="center" wrapText="1" shrinkToFit="0"/>
    </x:xf>
    <x:xf numFmtId="0" fontId="5" fillId="0" borderId="0" xfId="0" applyFont="1" applyAlignment="1">
      <x:alignment vertical="center" wrapText="0" shrinkToFit="0"/>
    </x:xf>
    <x:xf numFmtId="0" fontId="6" fillId="0" borderId="0" xfId="0" applyFont="1" applyAlignment="1">
      <x:alignment vertical="center" wrapText="1" shrinkToFit="0"/>
    </x:xf>
    <x:xf numFmtId="0" fontId="1" fillId="0" borderId="0" xfId="0" applyFont="1" applyAlignment="1">
      <x:alignment vertical="center" wrapText="0" shrinkToFit="0"/>
    </x:xf>
    <x:xf numFmtId="164" fontId="1" fillId="0" borderId="0" xfId="0" applyNumberFormat="1" applyFont="1" applyAlignment="1">
      <x:alignment horizontal="right" vertical="center" wrapText="0" shrinkToFit="0"/>
    </x:xf>
    <x:xf numFmtId="165" fontId="1" fillId="0" borderId="0" xfId="0" applyNumberFormat="1" applyFont="1" applyAlignment="1">
      <x:alignment horizontal="right" vertical="center" wrapText="0" shrinkToFit="0"/>
    </x:xf>
    <x:xf numFmtId="0" fontId="3" fillId="0" borderId="0" xfId="0" applyFont="1" applyAlignment="1">
      <x:alignment vertical="center" wrapText="1" shrinkToFit="0"/>
    </x:xf>
    <x:xf numFmtId="0" fontId="4" fillId="2" borderId="0" xfId="0" applyFont="1" applyFill="1" applyAlignment="1">
      <x:alignment vertical="center" wrapText="0" shrinkToFit="0"/>
    </x:xf>
    <x:xf numFmtId="0" fontId="4" fillId="2" borderId="0" xfId="0" applyFont="1" applyFill="1" applyAlignment="1">
      <x:alignment horizontal="center" vertical="center" wrapText="0" shrinkToFit="0"/>
    </x:xf>
    <x:xf numFmtId="0" fontId="4" fillId="3" borderId="0" xfId="0" applyFont="1" applyFill="1" applyAlignment="1">
      <x:alignment horizontal="center" vertical="center" wrapText="0" shrinkToFit="0"/>
    </x:xf>
    <x:xf numFmtId="0" fontId="4" fillId="4" borderId="0" xfId="0" applyFont="1" applyFill="1" applyAlignment="1">
      <x:alignment horizontal="center" vertical="center" wrapText="0" shrinkToFit="0"/>
    </x:xf>
    <x:xf numFmtId="0" fontId="4" fillId="5" borderId="0" xfId="0" applyFont="1" applyFill="1" applyAlignment="1">
      <x:alignment horizontal="center" vertical="center" wrapText="0" shrinkToFit="0"/>
    </x:xf>
    <x:xf numFmtId="0" fontId="3" fillId="6" borderId="0" xfId="0" applyFont="1" applyFill="1" applyAlignment="1">
      <x:alignment vertical="center" wrapText="0" shrinkToFit="0"/>
    </x:xf>
    <x:xf numFmtId="0" fontId="7" fillId="6" borderId="2" xfId="0" applyFont="1" applyFill="1" applyBorder="1" applyAlignment="1">
      <x:alignment horizontal="center" vertical="center" wrapText="1" shrinkToFit="0"/>
    </x:xf>
    <x:xf numFmtId="0" fontId="8" fillId="0" borderId="3" xfId="0" applyFont="1" applyBorder="1"/>
    <x:xf numFmtId="0" fontId="8" fillId="0" borderId="4" xfId="0" applyFont="1" applyBorder="1"/>
    <x:xf numFmtId="0" fontId="9" fillId="7" borderId="5" xfId="0" applyFont="1" applyFill="1" applyBorder="1" applyAlignment="1">
      <x:alignment horizontal="center" vertical="center" wrapText="1" shrinkToFit="0"/>
    </x:xf>
    <x:xf numFmtId="166" fontId="10" fillId="6" borderId="6" xfId="0" applyNumberFormat="1" applyFont="1" applyFill="1" applyBorder="1" applyAlignment="1">
      <x:alignment horizontal="center" vertical="center" wrapText="0" shrinkToFit="0"/>
    </x:xf>
    <x:xf numFmtId="166" fontId="10" fillId="8" borderId="6" xfId="0" applyNumberFormat="1" applyFont="1" applyFill="1" applyBorder="1" applyAlignment="1">
      <x:alignment horizontal="center" vertical="center" wrapText="0" shrinkToFit="0"/>
    </x:xf>
    <x:xf numFmtId="49" fontId="9" fillId="9" borderId="1" xfId="0" applyNumberFormat="1" applyFont="1" applyFill="1" applyBorder="1" applyAlignment="1">
      <x:alignment horizontal="center" vertical="center" wrapText="1" shrinkToFit="0"/>
    </x:xf>
    <x:xf numFmtId="0" fontId="9" fillId="9" borderId="1" xfId="0" applyFont="1" applyFill="1" applyBorder="1" applyAlignment="1">
      <x:alignment vertical="center" wrapText="1" shrinkToFit="0"/>
    </x:xf>
    <x:xf numFmtId="0" fontId="9" fillId="9" borderId="1" xfId="0" applyFont="1" applyFill="1" applyBorder="1" applyAlignment="1">
      <x:alignment horizontal="center" vertical="center" wrapText="1" shrinkToFit="0"/>
    </x:xf>
    <x:xf numFmtId="167" fontId="9" fillId="9" borderId="1" xfId="0" applyNumberFormat="1" applyFont="1" applyFill="1" applyBorder="1" applyAlignment="1">
      <x:alignment horizontal="center" vertical="center" wrapText="1" shrinkToFit="0"/>
    </x:xf>
    <x:xf numFmtId="1" fontId="9" fillId="9" borderId="1" xfId="0" applyNumberFormat="1" applyFont="1" applyFill="1" applyBorder="1" applyAlignment="1">
      <x:alignment horizontal="center" vertical="center" wrapText="1" shrinkToFit="0"/>
    </x:xf>
    <x:xf numFmtId="9" fontId="9" fillId="9" borderId="1" xfId="0" applyNumberFormat="1" applyFont="1" applyFill="1" applyBorder="1" applyAlignment="1">
      <x:alignment horizontal="center" vertical="center" wrapText="1" shrinkToFit="0"/>
    </x:xf>
    <x:xf numFmtId="0" fontId="1" fillId="9" borderId="1" xfId="0" applyFont="1" applyFill="1" applyBorder="1"/>
    <x:xf numFmtId="49" fontId="1" fillId="10" borderId="1" xfId="0" applyNumberFormat="1" applyFont="1" applyFill="1" applyBorder="1" applyAlignment="1">
      <x:alignment horizontal="center" vertical="center" wrapText="1" shrinkToFit="0"/>
    </x:xf>
    <x:xf numFmtId="0" fontId="1" fillId="10" borderId="1" xfId="0" applyFont="1" applyFill="1" applyBorder="1" applyAlignment="1">
      <x:alignment vertical="center" wrapText="1" shrinkToFit="0"/>
    </x:xf>
    <x:xf numFmtId="0" fontId="1" fillId="11" borderId="1" xfId="0" applyFont="1" applyFill="1" applyBorder="1" applyAlignment="1">
      <x:alignment horizontal="center" vertical="center" wrapText="1" shrinkToFit="0"/>
    </x:xf>
    <x:xf numFmtId="167" fontId="1" fillId="11" borderId="1" xfId="0" applyNumberFormat="1" applyFont="1" applyFill="1" applyBorder="1" applyAlignment="1">
      <x:alignment horizontal="center" vertical="center" wrapText="1" shrinkToFit="0"/>
    </x:xf>
    <x:xf numFmtId="167" fontId="1" fillId="11" borderId="1" xfId="0" applyNumberFormat="1" applyFont="1" applyFill="1" applyBorder="1" applyAlignment="1">
      <x:alignment horizontal="center" vertical="center" wrapText="1" shrinkToFit="0"/>
    </x:xf>
    <x:xf numFmtId="1" fontId="1" fillId="10" borderId="1" xfId="0" applyNumberFormat="1" applyFont="1" applyFill="1" applyBorder="1" applyAlignment="1">
      <x:alignment horizontal="center" vertical="center" wrapText="1" shrinkToFit="0"/>
    </x:xf>
    <x:xf numFmtId="0" fontId="1" fillId="10" borderId="1" xfId="0" applyFont="1" applyFill="1" applyBorder="1"/>
    <x:xf numFmtId="0" fontId="11" fillId="0" borderId="0" xfId="0" applyFont="1" applyAlignment="1">
      <x:alignment vertical="bottom" wrapText="0" shrinkToFit="0"/>
    </x:xf>
    <x:xf numFmtId="0" fontId="4" fillId="2" borderId="0" xfId="0" applyFont="1" applyFill="1" applyAlignment="1">
      <x:alignment horizontal="center" vertical="bottom" wrapText="0" shrinkToFit="0"/>
    </x:xf>
    <x:xf numFmtId="0" fontId="1" fillId="0" borderId="7" xfId="0" applyFont="1" applyBorder="1" applyAlignment="1">
      <x:alignment vertical="center" wrapText="1" shrinkToFit="0"/>
    </x:xf>
    <x:xf numFmtId="0" fontId="8" fillId="0" borderId="8" xfId="0" applyFont="1" applyBorder="1"/>
    <x:xf numFmtId="0" fontId="8" fillId="0" borderId="9" xfId="0" applyFont="1" applyBorder="1"/>
    <x:xf numFmtId="0" fontId="12" fillId="0" borderId="0" xfId="0" applyFont="1" applyAlignment="1">
      <x:alignment vertical="bottom" wrapText="0" shrinkToFit="0"/>
    </x:xf>
    <x:xf numFmtId="0" fontId="11" fillId="0" borderId="0" xfId="0" applyFont="1" applyAlignment="1">
      <x:alignment vertical="center" wrapText="0" shrinkToFit="0"/>
    </x:xf>
    <x:xf numFmtId="0" fontId="4" fillId="2" borderId="0" xfId="0" applyFont="1" applyFill="1" applyAlignment="1">
      <x:alignment horizontal="center" vertical="center" wrapText="1" shrinkToFit="0"/>
    </x:xf>
    <x:xf numFmtId="167" fontId="1" fillId="0" borderId="1" xfId="0" applyNumberFormat="1" applyFont="1" applyBorder="1" applyAlignment="1">
      <x:alignment vertical="center" wrapText="1" shrinkToFit="0"/>
    </x:xf>
    <x:xf numFmtId="0" fontId="13" fillId="0" borderId="7" xfId="0" applyFont="1" applyBorder="1" applyAlignment="1">
      <x:alignment vertical="center" wrapText="1" shrinkToFit="0"/>
    </x:xf>
    <x:xf numFmtId="0" fontId="14" fillId="0" borderId="0" xfId="0" applyFont="1" applyAlignment="1">
      <x:alignment vertical="bottom" wrapText="0" shrinkToFit="0"/>
    </x:xf>
    <x:xf numFmtId="0" fontId="14" fillId="12" borderId="0" xfId="0" applyNumberFormat="1" applyFont="1" applyFill="1" applyBorder="1" applyAlignment="1">
      <x:alignment vertical="bottom" wrapText="0"/>
    </x:xf>
    <x:xf numFmtId="0" fontId="15" fillId="12" borderId="0" xfId="0" applyNumberFormat="1" applyFont="1" applyFill="1" applyBorder="1" applyAlignment="1">
      <x:alignment vertical="bottom" wrapText="0"/>
    </x:xf>
    <x:xf numFmtId="166" fontId="10" fillId="6" borderId="6" xfId="0" applyNumberFormat="1" applyFont="1" applyFill="1" applyBorder="1" applyAlignment="1">
      <x:alignment horizontal="center" vertical="center" wrapText="0"/>
    </x:xf>
    <x:xf numFmtId="166" fontId="10" fillId="8" borderId="6" xfId="0" applyNumberFormat="1" applyFont="1" applyFill="1" applyBorder="1" applyAlignment="1">
      <x:alignment horizontal="center" vertical="center" wrapText="0"/>
    </x:xf>
    <x:xf numFmtId="0" fontId="4" fillId="13" borderId="0" xfId="0" applyNumberFormat="1" applyFont="1" applyFill="1" applyBorder="1" applyAlignment="1">
      <x:alignment horizontal="center" vertical="center" wrapText="0"/>
    </x:xf>
    <x:xf numFmtId="0" fontId="0" fillId="13" borderId="0" xfId="0" applyNumberFormat="1" applyFont="1" applyFill="1" applyBorder="1" applyAlignment="1">
      <x:alignment vertical="bottom" wrapText="0"/>
    </x:xf>
    <x:xf numFmtId="0" fontId="16" fillId="13" borderId="0" xfId="0" applyNumberFormat="1" applyFont="1" applyFill="1" applyBorder="1" applyAlignment="1">
      <x:alignment vertical="bottom" wrapText="0"/>
    </x:xf>
    <x:xf numFmtId="0" fontId="16" fillId="13" borderId="0" xfId="0" applyNumberFormat="1" applyFont="1" applyFill="1" applyBorder="1" applyAlignment="1">
      <x:alignment horizontal="center" vertical="bottom" wrapText="0"/>
    </x:xf>
    <x:xf numFmtId="0" fontId="7" fillId="14" borderId="2" xfId="0" applyNumberFormat="1" applyFont="1" applyFill="1" applyBorder="1" applyAlignment="1">
      <x:alignment horizontal="center" vertical="center" wrapText="1"/>
    </x:xf>
    <x:xf numFmtId="0" fontId="8" fillId="14" borderId="3" xfId="0" applyNumberFormat="1" applyFont="1" applyFill="1" applyBorder="1"/>
    <x:xf numFmtId="0" fontId="8" fillId="14" borderId="4" xfId="0" applyNumberFormat="1" applyFont="1" applyFill="1" applyBorder="1"/>
    <x:xf numFmtId="0" fontId="17" fillId="14" borderId="2" xfId="0" applyNumberFormat="1" applyFont="1" applyFill="1" applyBorder="1" applyAlignment="1">
      <x:alignment horizontal="center" vertical="center" wrapText="1"/>
    </x:xf>
    <x:xf numFmtId="0" fontId="18" fillId="14" borderId="3" xfId="0" applyNumberFormat="1" applyFont="1" applyFill="1" applyBorder="1"/>
    <x:xf numFmtId="0" fontId="18" fillId="14" borderId="4" xfId="0" applyNumberFormat="1" applyFont="1" applyFill="1" applyBorder="1"/>
    <x:xf numFmtId="0" fontId="18" fillId="14" borderId="3" xfId="0" applyNumberFormat="1" applyFont="1" applyFill="1" applyBorder="1" applyAlignment="1">
      <x:alignment wrapText="1"/>
    </x:xf>
    <x:xf numFmtId="0" fontId="18" fillId="14" borderId="4" xfId="0" applyNumberFormat="1" applyFont="1" applyFill="1" applyBorder="1" applyAlignment="1">
      <x:alignment wrapText="1"/>
    </x:xf>
    <x:xf numFmtId="0" fontId="18" fillId="14" borderId="3" xfId="0" applyNumberFormat="1" applyFont="1" applyFill="1" applyBorder="1" applyAlignment="1">
      <x:alignment horizontal="center" wrapText="1"/>
    </x:xf>
    <x:xf numFmtId="0" fontId="18" fillId="14" borderId="4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 applyAlignment="1">
      <x:alignment vertical="bottom" wrapText="0"/>
    </x:xf>
    <x:xf numFmtId="0" fontId="19" fillId="14" borderId="0" xfId="0" applyNumberFormat="1" applyFont="1" applyFill="1" applyBorder="1" applyAlignment="1">
      <x:alignment vertical="bottom" wrapText="0"/>
    </x:xf>
    <x:xf numFmtId="0" fontId="19" fillId="14" borderId="0" xfId="0" applyNumberFormat="1" applyFont="1" applyFill="1" applyBorder="1" applyAlignment="1">
      <x:alignment vertical="bottom" wrapText="1"/>
    </x:xf>
    <x:xf numFmtId="0" fontId="19" fillId="14" borderId="0" xfId="0" applyNumberFormat="1" applyFont="1" applyFill="1" applyBorder="1" applyAlignment="1">
      <x:alignment horizontal="center" vertical="bottom" wrapText="1"/>
    </x:xf>
    <x:xf numFmtId="200" fontId="1" fillId="11" borderId="1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49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49" fontId="1" fillId="0" borderId="1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vertical="top" wrapText="1"/>
    </x:xf>
    <x:xf numFmtId="49" fontId="20" fillId="10" borderId="1" xfId="0" applyNumberFormat="1" applyFont="1" applyFill="1" applyBorder="1" applyAlignment="1">
      <x:alignment horizontal="center" vertical="center" wrapText="1"/>
    </x:xf>
    <x:xf numFmtId="0" fontId="20" fillId="10" borderId="1" xfId="0" applyNumberFormat="1" applyFont="1" applyFill="1" applyBorder="1" applyAlignment="1">
      <x:alignment vertical="center" wrapText="1"/>
    </x:xf>
    <x:xf numFmtId="49" fontId="21" fillId="10" borderId="1" xfId="0" applyNumberFormat="1" applyFont="1" applyFill="1" applyBorder="1" applyAlignment="1">
      <x:alignment horizontal="center" vertical="center" wrapText="1"/>
    </x:xf>
    <x:xf numFmtId="0" fontId="21" fillId="10" borderId="1" xfId="0" applyNumberFormat="1" applyFont="1" applyFill="1" applyBorder="1" applyAlignment="1">
      <x:alignment vertical="center" wrapText="1"/>
    </x:xf>
    <x:xf numFmtId="0" fontId="1" fillId="9" borderId="10" xfId="0" applyNumberFormat="1" applyFont="1" applyFill="1" applyBorder="1"/>
    <x:xf numFmtId="0" fontId="1" fillId="10" borderId="10" xfId="0" applyNumberFormat="1" applyFont="1" applyFill="1" applyBorder="1"/>
    <x:xf numFmtId="0" fontId="14" fillId="0" borderId="10" xfId="0" applyNumberFormat="1" applyFont="1" applyFill="1" applyBorder="1" applyAlignment="1">
      <x:alignment vertical="bottom" wrapText="0"/>
    </x:xf>
    <x:xf numFmtId="49" fontId="9" fillId="15" borderId="1" xfId="0" applyNumberFormat="1" applyFont="1" applyFill="1" applyBorder="1" applyAlignment="1">
      <x:alignment horizontal="center" vertical="center" wrapText="1"/>
    </x:xf>
    <x:xf numFmtId="0" fontId="9" fillId="15" borderId="1" xfId="0" applyNumberFormat="1" applyFont="1" applyFill="1" applyBorder="1" applyAlignment="1">
      <x:alignment vertical="center" wrapText="1"/>
    </x:xf>
    <x:xf numFmtId="0" fontId="9" fillId="15" borderId="1" xfId="0" applyNumberFormat="1" applyFont="1" applyFill="1" applyBorder="1" applyAlignment="1">
      <x:alignment horizontal="center" vertical="center" wrapText="1"/>
    </x:xf>
    <x:xf numFmtId="167" fontId="9" fillId="15" borderId="1" xfId="0" applyNumberFormat="1" applyFont="1" applyFill="1" applyBorder="1" applyAlignment="1">
      <x:alignment horizontal="center" vertical="center" wrapText="1"/>
    </x:xf>
    <x:xf numFmtId="1" fontId="9" fillId="15" borderId="1" xfId="0" applyNumberFormat="1" applyFont="1" applyFill="1" applyBorder="1" applyAlignment="1">
      <x:alignment horizontal="center" vertical="center" wrapText="1"/>
    </x:xf>
    <x:xf numFmtId="9" fontId="9" fillId="15" borderId="1" xfId="0" applyNumberFormat="1" applyFont="1" applyFill="1" applyBorder="1" applyAlignment="1">
      <x:alignment horizontal="center" vertical="center" wrapText="1"/>
    </x:xf>
    <x:xf numFmtId="0" fontId="1" fillId="15" borderId="1" xfId="0" applyNumberFormat="1" applyFont="1" applyFill="1" applyBorder="1"/>
    <x:xf numFmtId="0" fontId="1" fillId="15" borderId="10" xfId="0" applyNumberFormat="1" applyFont="1" applyFill="1" applyBorder="1"/>
    <x:xf numFmtId="49" fontId="1" fillId="15" borderId="1" xfId="0" applyNumberFormat="1" applyFont="1" applyFill="1" applyBorder="1" applyAlignment="1">
      <x:alignment horizontal="center" vertical="center" wrapText="1"/>
    </x:xf>
    <x:xf numFmtId="0" fontId="1" fillId="15" borderId="1" xfId="0" applyNumberFormat="1" applyFont="1" applyFill="1" applyBorder="1" applyAlignment="1">
      <x:alignment vertical="center" wrapText="1"/>
    </x:xf>
    <x:xf numFmtId="0" fontId="1" fillId="15" borderId="1" xfId="0" applyNumberFormat="1" applyFont="1" applyFill="1" applyBorder="1" applyAlignment="1">
      <x:alignment horizontal="center" vertical="center" wrapText="1"/>
    </x:xf>
    <x:xf numFmtId="200" fontId="1" fillId="15" borderId="1" xfId="0" applyNumberFormat="1" applyFont="1" applyFill="1" applyBorder="1" applyAlignment="1">
      <x:alignment horizontal="center" vertical="center" wrapText="1"/>
    </x:xf>
    <x:xf numFmtId="1" fontId="1" fillId="15" borderId="1" xfId="0" applyNumberFormat="1" applyFont="1" applyFill="1" applyBorder="1" applyAlignment="1">
      <x:alignment horizontal="center" vertical="center" wrapText="1"/>
    </x:xf>
    <x:xf numFmtId="49" fontId="20" fillId="15" borderId="1" xfId="0" applyNumberFormat="1" applyFont="1" applyFill="1" applyBorder="1" applyAlignment="1">
      <x:alignment horizontal="center" vertical="center" wrapText="1"/>
    </x:xf>
    <x:xf numFmtId="0" fontId="20" fillId="15" borderId="1" xfId="0" applyNumberFormat="1" applyFont="1" applyFill="1" applyBorder="1" applyAlignment="1">
      <x:alignment vertical="center" wrapText="1"/>
    </x:xf>
    <x:xf numFmtId="0" fontId="15" fillId="15" borderId="0" xfId="0" applyNumberFormat="1" applyFont="1" applyFill="1" applyBorder="1" applyAlignment="1">
      <x:alignment vertical="bottom" wrapText="0"/>
    </x:xf>
    <x:xf numFmtId="0" fontId="14" fillId="15" borderId="0" xfId="0" applyNumberFormat="1" applyFont="1" applyFill="1" applyBorder="1" applyAlignment="1">
      <x:alignment vertical="bottom" wrapText="0"/>
    </x:xf>
    <x:xf numFmtId="0" fontId="14" fillId="15" borderId="10" xfId="0" applyNumberFormat="1" applyFont="1" applyFill="1" applyBorder="1" applyAlignment="1">
      <x:alignment vertical="bottom" wrapText="0"/>
    </x:xf>
    <x:xf numFmtId="49" fontId="21" fillId="15" borderId="1" xfId="0" applyNumberFormat="1" applyFont="1" applyFill="1" applyBorder="1" applyAlignment="1">
      <x:alignment horizontal="center" vertical="center" wrapText="1"/>
    </x:xf>
    <x:xf numFmtId="0" fontId="21" fillId="15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bottom" wrapText="0"/>
    </x:xf>
    <x:xf numFmtId="49" fontId="22" fillId="15" borderId="1" xfId="0" applyNumberFormat="1" applyFont="1" applyFill="1" applyBorder="1" applyAlignment="1">
      <x:alignment horizontal="center" vertical="center" wrapText="1"/>
    </x:xf>
    <x:xf numFmtId="0" fontId="22" fillId="15" borderId="1" xfId="0" applyNumberFormat="1" applyFont="1" applyFill="1" applyBorder="1" applyAlignment="1">
      <x:alignment vertical="center" wrapText="1"/>
    </x:xf>
    <x:xf numFmtId="0" fontId="22" fillId="15" borderId="1" xfId="0" applyNumberFormat="1" applyFont="1" applyFill="1" applyBorder="1" applyAlignment="1">
      <x:alignment horizontal="center" vertical="center" wrapText="1"/>
    </x:xf>
    <x:xf numFmtId="167" fontId="22" fillId="15" borderId="1" xfId="0" applyNumberFormat="1" applyFont="1" applyFill="1" applyBorder="1" applyAlignment="1">
      <x:alignment horizontal="center" vertical="center" wrapText="1"/>
    </x:xf>
    <x:xf numFmtId="1" fontId="22" fillId="15" borderId="1" xfId="0" applyNumberFormat="1" applyFont="1" applyFill="1" applyBorder="1" applyAlignment="1">
      <x:alignment horizontal="center" vertical="center" wrapText="1"/>
    </x:xf>
    <x:xf numFmtId="9" fontId="22" fillId="15" borderId="1" xfId="0" applyNumberFormat="1" applyFont="1" applyFill="1" applyBorder="1" applyAlignment="1">
      <x:alignment horizontal="center" vertical="center" wrapText="1"/>
    </x:xf>
    <x:xf numFmtId="0" fontId="23" fillId="15" borderId="1" xfId="0" applyNumberFormat="1" applyFont="1" applyFill="1" applyBorder="1"/>
    <x:xf numFmtId="0" fontId="23" fillId="15" borderId="10" xfId="0" applyNumberFormat="1" applyFont="1" applyFill="1" applyBorder="1"/>
    <x:xf numFmtId="49" fontId="23" fillId="15" borderId="1" xfId="0" applyNumberFormat="1" applyFont="1" applyFill="1" applyBorder="1" applyAlignment="1">
      <x:alignment horizontal="center" vertical="center" wrapText="1"/>
    </x:xf>
    <x:xf numFmtId="0" fontId="23" fillId="15" borderId="1" xfId="0" applyNumberFormat="1" applyFont="1" applyFill="1" applyBorder="1" applyAlignment="1">
      <x:alignment vertical="center" wrapText="1"/>
    </x:xf>
    <x:xf numFmtId="0" fontId="23" fillId="15" borderId="1" xfId="0" applyNumberFormat="1" applyFont="1" applyFill="1" applyBorder="1" applyAlignment="1">
      <x:alignment horizontal="center" vertical="center" wrapText="1"/>
    </x:xf>
    <x:xf numFmtId="200" fontId="23" fillId="15" borderId="1" xfId="0" applyNumberFormat="1" applyFont="1" applyFill="1" applyBorder="1" applyAlignment="1">
      <x:alignment horizontal="center" vertical="center" wrapText="1"/>
    </x:xf>
    <x:xf numFmtId="1" fontId="23" fillId="15" borderId="1" xfId="0" applyNumberFormat="1" applyFont="1" applyFill="1" applyBorder="1" applyAlignment="1">
      <x:alignment horizontal="center" vertical="center" wrapText="1"/>
    </x:xf>
    <x:xf numFmtId="0" fontId="22" fillId="15" borderId="0" xfId="0" applyNumberFormat="1" applyFont="1" applyFill="1" applyBorder="1" applyAlignment="1">
      <x:alignment vertical="bottom" wrapText="0"/>
    </x:xf>
    <x:xf numFmtId="0" fontId="23" fillId="15" borderId="0" xfId="0" applyNumberFormat="1" applyFont="1" applyFill="1" applyBorder="1" applyAlignment="1">
      <x:alignment vertical="bottom" wrapText="0"/>
    </x:xf>
    <x:xf numFmtId="0" fontId="23" fillId="15" borderId="10" xfId="0" applyNumberFormat="1" applyFont="1" applyFill="1" applyBorder="1" applyAlignment="1">
      <x:alignment vertical="bottom" wrapText="0"/>
    </x:xf>
    <x:xf numFmtId="0" fontId="24" fillId="15" borderId="0" xfId="0" applyNumberFormat="1" applyFont="1" applyFill="1" applyBorder="1" applyAlignment="1">
      <x:alignment vertical="bottom" wrapText="0"/>
    </x:xf>
    <x:xf numFmtId="49" fontId="22" fillId="15" borderId="10" xfId="0" applyNumberFormat="1" applyFont="1" applyFill="1" applyBorder="1" applyAlignment="1">
      <x:alignment horizontal="center" vertical="center" wrapText="1"/>
    </x:xf>
    <x:xf numFmtId="0" fontId="22" fillId="15" borderId="10" xfId="0" applyNumberFormat="1" applyFont="1" applyFill="1" applyBorder="1" applyAlignment="1">
      <x:alignment vertical="center" wrapText="1"/>
    </x:xf>
    <x:xf numFmtId="0" fontId="22" fillId="15" borderId="10" xfId="0" applyNumberFormat="1" applyFont="1" applyFill="1" applyBorder="1" applyAlignment="1">
      <x:alignment horizontal="center" vertical="center" wrapText="1"/>
    </x:xf>
    <x:xf numFmtId="167" fontId="22" fillId="15" borderId="10" xfId="0" applyNumberFormat="1" applyFont="1" applyFill="1" applyBorder="1" applyAlignment="1">
      <x:alignment horizontal="center" vertical="center" wrapText="1"/>
    </x:xf>
    <x:xf numFmtId="1" fontId="22" fillId="15" borderId="10" xfId="0" applyNumberFormat="1" applyFont="1" applyFill="1" applyBorder="1" applyAlignment="1">
      <x:alignment horizontal="center" vertical="center" wrapText="1"/>
    </x:xf>
    <x:xf numFmtId="9" fontId="22" fillId="15" borderId="10" xfId="0" applyNumberFormat="1" applyFont="1" applyFill="1" applyBorder="1" applyAlignment="1">
      <x:alignment horizontal="center" vertical="center" wrapText="1"/>
    </x:xf>
    <x:xf numFmtId="49" fontId="23" fillId="15" borderId="10" xfId="0" applyNumberFormat="1" applyFont="1" applyFill="1" applyBorder="1" applyAlignment="1">
      <x:alignment horizontal="center" vertical="center" wrapText="1"/>
    </x:xf>
    <x:xf numFmtId="0" fontId="23" fillId="15" borderId="10" xfId="0" applyNumberFormat="1" applyFont="1" applyFill="1" applyBorder="1" applyAlignment="1">
      <x:alignment vertical="center" wrapText="1"/>
    </x:xf>
    <x:xf numFmtId="0" fontId="23" fillId="15" borderId="10" xfId="0" applyNumberFormat="1" applyFont="1" applyFill="1" applyBorder="1" applyAlignment="1">
      <x:alignment horizontal="center" vertical="center" wrapText="1"/>
    </x:xf>
    <x:xf numFmtId="200" fontId="23" fillId="15" borderId="10" xfId="0" applyNumberFormat="1" applyFont="1" applyFill="1" applyBorder="1" applyAlignment="1">
      <x:alignment horizontal="center" vertical="center" wrapText="1"/>
    </x:xf>
    <x:xf numFmtId="1" fontId="23" fillId="15" borderId="10" xfId="0" applyNumberFormat="1" applyFont="1" applyFill="1" applyBorder="1" applyAlignment="1">
      <x:alignment horizontal="center" vertical="center" wrapText="1"/>
    </x:xf>
    <x:xf numFmtId="0" fontId="22" fillId="15" borderId="10" xfId="0" applyNumberFormat="1" applyFont="1" applyFill="1" applyBorder="1" applyAlignment="1">
      <x:alignment vertical="bottom" wrapText="0"/>
    </x:xf>
    <x:xf numFmtId="0" fontId="24" fillId="15" borderId="10" xfId="0" applyNumberFormat="1" applyFont="1" applyFill="1" applyBorder="1" applyAlignment="1">
      <x:alignment vertical="bottom" wrapText="0"/>
    </x:xf>
    <x:xf numFmtId="0" fontId="23" fillId="15" borderId="10" xfId="0" applyNumberFormat="1" applyFont="1" applyFill="1" applyBorder="1" applyAlignment="1">
      <x:alignment vertical="center"/>
    </x:xf>
    <x:xf numFmtId="0" fontId="22" fillId="15" borderId="10" xfId="0" applyNumberFormat="1" applyFont="1" applyFill="1" applyBorder="1" applyAlignment="1">
      <x:alignment vertical="center" wrapText="0"/>
    </x:xf>
    <x:xf numFmtId="0" fontId="23" fillId="15" borderId="10" xfId="0" applyNumberFormat="1" applyFont="1" applyFill="1" applyBorder="1" applyAlignment="1">
      <x:alignment vertical="center" wrapText="0"/>
    </x:xf>
    <x:xf numFmtId="0" fontId="24" fillId="15" borderId="10" xfId="0" applyNumberFormat="1" applyFont="1" applyFill="1" applyBorder="1" applyAlignment="1">
      <x:alignment vertical="center" wrapText="0"/>
    </x:xf>
    <x:xf numFmtId="0" fontId="22" fillId="16" borderId="10" xfId="0" applyNumberFormat="1" applyFont="1" applyFill="1" applyBorder="1" applyAlignment="1">
      <x:alignment horizontal="center" vertical="center" wrapText="1"/>
    </x:xf>
    <x:xf numFmtId="167" fontId="22" fillId="16" borderId="10" xfId="0" applyNumberFormat="1" applyFont="1" applyFill="1" applyBorder="1" applyAlignment="1">
      <x:alignment horizontal="center" vertical="center" wrapText="1"/>
    </x:xf>
    <x:xf numFmtId="0" fontId="23" fillId="16" borderId="10" xfId="0" applyNumberFormat="1" applyFont="1" applyFill="1" applyBorder="1" applyAlignment="1">
      <x:alignment horizontal="center" vertical="center" wrapText="1"/>
    </x:xf>
    <x:xf numFmtId="200" fontId="23" fillId="16" borderId="10" xfId="0" applyNumberFormat="1" applyFont="1" applyFill="1" applyBorder="1" applyAlignment="1">
      <x:alignment horizontal="center" vertical="center" wrapText="1"/>
    </x:xf>
    <x:xf numFmtId="0" fontId="22" fillId="16" borderId="10" xfId="0" applyNumberFormat="1" applyFont="1" applyFill="1" applyBorder="1" applyAlignment="1">
      <x:alignment vertical="center" wrapText="0"/>
    </x:xf>
    <x:xf numFmtId="0" fontId="23" fillId="16" borderId="10" xfId="0" applyNumberFormat="1" applyFont="1" applyFill="1" applyBorder="1" applyAlignment="1">
      <x:alignment vertical="center" wrapText="0"/>
    </x:xf>
    <x:xf numFmtId="9" fontId="22" fillId="17" borderId="10" xfId="0" applyNumberFormat="1" applyFont="1" applyFill="1" applyBorder="1" applyAlignment="1">
      <x:alignment horizontal="center" vertical="center" wrapText="1"/>
    </x:xf>
    <x:xf numFmtId="0" fontId="22" fillId="17" borderId="10" xfId="0" applyNumberFormat="1" applyFont="1" applyFill="1" applyBorder="1" applyAlignment="1">
      <x:alignment vertical="center" wrapText="0"/>
    </x:xf>
    <x:xf numFmtId="0" fontId="23" fillId="17" borderId="10" xfId="0" applyNumberFormat="1" applyFont="1" applyFill="1" applyBorder="1" applyAlignment="1">
      <x:alignment vertical="center" wrapText="0"/>
    </x:xf>
    <x:xf numFmtId="49" fontId="1" fillId="15" borderId="1" xfId="0" applyNumberFormat="1" applyFont="1" applyFill="1" applyBorder="1" applyAlignment="1">
      <x:alignment horizontal="center" vertical="top" wrapText="1"/>
    </x:xf>
    <x:xf numFmtId="0" fontId="1" fillId="15" borderId="1" xfId="0" applyNumberFormat="1" applyFont="1" applyFill="1" applyBorder="1" applyAlignment="1">
      <x:alignment horizontal="center" vertical="top" wrapText="1"/>
    </x:xf>
    <x:xf numFmtId="0" fontId="1" fillId="15" borderId="1" xfId="0" applyNumberFormat="1" applyFont="1" applyFill="1" applyBorder="1" applyAlignment="1">
      <x:alignment vertical="top" wrapText="1"/>
    </x:xf>
    <x:xf numFmtId="0" fontId="11" fillId="15" borderId="0" xfId="0" applyNumberFormat="1" applyFont="1" applyFill="1" applyBorder="1" applyAlignment="1">
      <x:alignment vertical="bottom" wrapText="0"/>
    </x:xf>
    <x:xf numFmtId="0" fontId="4" fillId="15" borderId="0" xfId="0" applyNumberFormat="1" applyFont="1" applyFill="1" applyBorder="1" applyAlignment="1">
      <x:alignment horizontal="center" vertical="bottom" wrapText="0"/>
    </x:xf>
    <x:xf numFmtId="0" fontId="1" fillId="15" borderId="7" xfId="0" applyNumberFormat="1" applyFont="1" applyFill="1" applyBorder="1" applyAlignment="1">
      <x:alignment vertical="center" wrapText="1"/>
    </x:xf>
    <x:xf numFmtId="0" fontId="8" fillId="15" borderId="8" xfId="0" applyNumberFormat="1" applyFont="1" applyFill="1" applyBorder="1"/>
    <x:xf numFmtId="0" fontId="8" fillId="15" borderId="9" xfId="0" applyNumberFormat="1" applyFont="1" applyFill="1" applyBorder="1"/>
    <x:xf numFmtId="0" fontId="1" fillId="15" borderId="0" xfId="0" applyNumberFormat="1" applyFont="1" applyFill="1" applyBorder="1" applyAlignment="1">
      <x:alignment vertical="bottom" wrapText="0"/>
    </x:xf>
    <x:xf numFmtId="0" fontId="12" fillId="15" borderId="0" xfId="0" applyNumberFormat="1" applyFont="1" applyFill="1" applyBorder="1" applyAlignment="1">
      <x:alignment vertical="bottom" wrapText="0"/>
    </x:xf>
    <x:xf numFmtId="0" fontId="11" fillId="15" borderId="0" xfId="0" applyNumberFormat="1" applyFont="1" applyFill="1" applyBorder="1" applyAlignment="1">
      <x:alignment vertical="center" wrapText="0"/>
    </x:xf>
    <x:xf numFmtId="0" fontId="4" fillId="15" borderId="0" xfId="0" applyNumberFormat="1" applyFont="1" applyFill="1" applyBorder="1" applyAlignment="1">
      <x:alignment horizontal="center" vertical="center" wrapText="1"/>
    </x:xf>
    <x:xf numFmtId="167" fontId="1" fillId="15" borderId="1" xfId="0" applyNumberFormat="1" applyFont="1" applyFill="1" applyBorder="1" applyAlignment="1">
      <x:alignment vertical="center" wrapText="1"/>
    </x:xf>
    <x:xf numFmtId="0" fontId="13" fillId="15" borderId="7" xfId="0" applyNumberFormat="1" applyFont="1" applyFill="1" applyBorder="1" applyAlignment="1">
      <x:alignment vertical="center" wrapText="1"/>
    </x:xf>
    <x:xf numFmtId="0" fontId="4" fillId="15" borderId="1" xfId="0" applyNumberFormat="1" applyFont="1" applyFill="1" applyBorder="1" applyAlignment="1">
      <x:alignment horizontal="center" vertical="center" wrapText="1"/>
    </x:xf>
    <x:xf numFmtId="49" fontId="23" fillId="15" borderId="1" xfId="0" applyNumberFormat="1" applyFont="1" applyFill="1" applyBorder="1" applyAlignment="1">
      <x:alignment horizontal="center" vertical="top" wrapText="1"/>
    </x:xf>
    <x:xf numFmtId="0" fontId="23" fillId="15" borderId="1" xfId="0" applyNumberFormat="1" applyFont="1" applyFill="1" applyBorder="1" applyAlignment="1">
      <x:alignment horizontal="center" vertical="top" wrapText="1"/>
    </x:xf>
    <x:xf numFmtId="0" fontId="23" fillId="15" borderId="1" xfId="0" applyNumberFormat="1" applyFont="1" applyFill="1" applyBorder="1" applyAlignment="1">
      <x:alignment vertical="top" wrapText="1"/>
    </x:xf>
    <x:xf numFmtId="0" fontId="22" fillId="15" borderId="0" xfId="0" applyNumberFormat="1" applyFont="1" applyFill="1" applyBorder="1" applyAlignment="1">
      <x:alignment horizontal="center" vertical="bottom" wrapText="0"/>
    </x:xf>
    <x:xf numFmtId="0" fontId="23" fillId="15" borderId="7" xfId="0" applyNumberFormat="1" applyFont="1" applyFill="1" applyBorder="1" applyAlignment="1">
      <x:alignment vertical="center" wrapText="1"/>
    </x:xf>
    <x:xf numFmtId="0" fontId="23" fillId="15" borderId="8" xfId="0" applyNumberFormat="1" applyFont="1" applyFill="1" applyBorder="1"/>
    <x:xf numFmtId="0" fontId="23" fillId="15" borderId="9" xfId="0" applyNumberFormat="1" applyFont="1" applyFill="1" applyBorder="1"/>
    <x:xf numFmtId="0" fontId="22" fillId="15" borderId="0" xfId="0" applyNumberFormat="1" applyFont="1" applyFill="1" applyBorder="1" applyAlignment="1">
      <x:alignment vertical="center" wrapText="0"/>
    </x:xf>
    <x:xf numFmtId="0" fontId="22" fillId="15" borderId="0" xfId="0" applyNumberFormat="1" applyFont="1" applyFill="1" applyBorder="1" applyAlignment="1">
      <x:alignment horizontal="center" vertical="center" wrapText="1"/>
    </x:xf>
    <x:xf numFmtId="167" fontId="23" fillId="15" borderId="1" xfId="0" applyNumberFormat="1" applyFont="1" applyFill="1" applyBorder="1" applyAlignment="1">
      <x:alignment vertical="center" wrapText="1"/>
    </x:xf>
    <x:xf numFmtId="49" fontId="23" fillId="15" borderId="10" xfId="0" applyNumberFormat="1" applyFont="1" applyFill="1" applyBorder="1" applyAlignment="1">
      <x:alignment horizontal="center" vertical="top" wrapText="1"/>
    </x:xf>
    <x:xf numFmtId="0" fontId="23" fillId="15" borderId="10" xfId="0" applyNumberFormat="1" applyFont="1" applyFill="1" applyBorder="1" applyAlignment="1">
      <x:alignment horizontal="center" vertical="top" wrapText="1"/>
    </x:xf>
    <x:xf numFmtId="0" fontId="23" fillId="15" borderId="10" xfId="0" applyNumberFormat="1" applyFont="1" applyFill="1" applyBorder="1" applyAlignment="1">
      <x:alignment vertical="top" wrapText="1"/>
    </x:xf>
    <x:xf numFmtId="0" fontId="22" fillId="15" borderId="10" xfId="0" applyNumberFormat="1" applyFont="1" applyFill="1" applyBorder="1" applyAlignment="1">
      <x:alignment horizontal="center" vertical="bottom" wrapText="0"/>
    </x:xf>
    <x:xf numFmtId="167" fontId="23" fillId="15" borderId="10" xfId="0" applyNumberFormat="1" applyFont="1" applyFill="1" applyBorder="1" applyAlignment="1">
      <x:alignment vertical="center" wrapText="1"/>
    </x:xf>
    <x:xf numFmtId="201" fontId="22" fillId="17" borderId="10" xfId="0" applyNumberFormat="1" applyFont="1" applyFill="1" applyBorder="1" applyAlignment="1">
      <x:alignment horizontal="center" vertical="center" wrapText="1"/>
    </x:xf>
    <x:xf numFmtId="200" fontId="22" fillId="16" borderId="10" xfId="0" applyNumberFormat="1" applyFont="1" applyFill="1" applyBorder="1" applyAlignment="1">
      <x:alignment horizontal="center" vertical="center" wrapText="1"/>
    </x:xf>
    <x:xf numFmtId="0" fontId="23" fillId="15" borderId="10" xfId="0" applyNumberFormat="1" applyFont="1" applyFill="1" applyBorder="1" applyAlignment="1">
      <x:alignment vertical="bottom" wrapText="1"/>
    </x:xf>
    <x:xf numFmtId="49" fontId="25" fillId="15" borderId="10" xfId="0" applyNumberFormat="1" applyFont="1" applyFill="1" applyBorder="1" applyAlignment="1">
      <x:alignment horizontal="center" vertical="center" wrapText="1"/>
    </x:xf>
    <x:xf numFmtId="0" fontId="25" fillId="15" borderId="10" xfId="0" applyNumberFormat="1" applyFont="1" applyFill="1" applyBorder="1" applyAlignment="1">
      <x:alignment vertical="center" wrapText="1"/>
    </x:xf>
    <x:xf numFmtId="0" fontId="26" fillId="16" borderId="10" xfId="0" applyNumberFormat="1" applyFont="1" applyFill="1" applyBorder="1" applyAlignment="1">
      <x:alignment horizontal="center" vertical="center" wrapText="1"/>
    </x:xf>
    <x:xf numFmtId="200" fontId="26" fillId="16" borderId="10" xfId="0" applyNumberFormat="1" applyFont="1" applyFill="1" applyBorder="1" applyAlignment="1">
      <x:alignment horizontal="center" vertical="center" wrapText="1"/>
    </x:xf>
    <x:xf numFmtId="1" fontId="26" fillId="15" borderId="10" xfId="0" applyNumberFormat="1" applyFont="1" applyFill="1" applyBorder="1" applyAlignment="1">
      <x:alignment horizontal="center" vertical="center" wrapText="1"/>
    </x:xf>
    <x:xf numFmtId="201" fontId="25" fillId="17" borderId="10" xfId="0" applyNumberFormat="1" applyFont="1" applyFill="1" applyBorder="1" applyAlignment="1">
      <x:alignment horizontal="center" vertical="center" wrapText="1"/>
    </x:xf>
    <x:xf numFmtId="0" fontId="26" fillId="15" borderId="10" xfId="0" applyNumberFormat="1" applyFont="1" applyFill="1" applyBorder="1" applyAlignment="1">
      <x:alignment vertical="top" wrapText="1"/>
    </x:xf>
    <x:xf numFmtId="0" fontId="24" fillId="15" borderId="10" xfId="0" applyNumberFormat="1" applyFont="1" applyFill="1" applyBorder="1" applyAlignment="1">
      <x:alignment vertical="bottom" wrapText="1"/>
    </x:xf>
    <x:xf numFmtId="0" fontId="24" fillId="15" borderId="10" xfId="0" applyNumberFormat="1" applyFont="1" applyFill="1" applyBorder="1" applyAlignment="1">
      <x:alignment vertical="top" wrapText="1"/>
    </x:xf>
    <x:xf numFmtId="0" fontId="27" fillId="15" borderId="10" xfId="0" applyNumberFormat="1" applyFont="1" applyFill="1" applyBorder="1" applyAlignment="1">
      <x:alignment vertical="top" wrapText="1"/>
    </x:xf>
    <x:xf numFmtId="0" fontId="22" fillId="15" borderId="10" xfId="0" applyNumberFormat="1" applyFont="1" applyFill="1" applyBorder="1" applyAlignment="1">
      <x:alignment vertical="top" wrapText="1"/>
    </x:xf>
    <x:xf numFmtId="0" fontId="25" fillId="15" borderId="10" xfId="0" applyNumberFormat="1" applyFont="1" applyFill="1" applyBorder="1" applyAlignment="1">
      <x:alignment vertical="top" wrapText="1"/>
    </x:xf>
    <x:xf numFmtId="0" fontId="22" fillId="15" borderId="10" xfId="0" applyNumberFormat="1" applyFont="1" applyFill="1" applyBorder="1" applyAlignment="1">
      <x:alignment horizontal="center" vertical="top" wrapText="1"/>
    </x:xf>
    <x:xf numFmtId="0" fontId="25" fillId="15" borderId="10" xfId="0" applyNumberFormat="1" applyFont="1" applyFill="1" applyBorder="1" applyAlignment="1">
      <x:alignment horizontal="center" vertical="top" wrapText="1"/>
    </x:xf>
    <x:xf numFmtId="0" fontId="23" fillId="15" borderId="10" xfId="0" applyNumberFormat="1" applyFont="1" applyFill="1" applyBorder="1" applyAlignment="1">
      <x:alignment wrapText="1"/>
    </x:xf>
    <x:xf numFmtId="200" fontId="23" fillId="16" borderId="10" xfId="0" applyNumberFormat="1" applyFont="1" applyFill="1" applyBorder="1" applyAlignment="1">
      <x:alignment vertical="center" wrapText="0"/>
    </x:xf>
    <x:xf numFmtId="201" fontId="23" fillId="17" borderId="10" xfId="0" applyNumberFormat="1" applyFont="1" applyFill="1" applyBorder="1" applyAlignment="1">
      <x:alignment vertical="center" wrapText="0"/>
    </x:xf>
    <x:xf numFmtId="0" fontId="26" fillId="15" borderId="10" xfId="0" applyNumberFormat="1" applyFont="1" applyFill="1" applyBorder="1" applyAlignment="1">
      <x:alignment vertical="center" wrapText="0"/>
    </x:xf>
    <x:xf numFmtId="0" fontId="26" fillId="15" borderId="10" xfId="0" applyNumberFormat="1" applyFont="1" applyFill="1" applyBorder="1" applyAlignment="1">
      <x:alignment vertical="center" wrapText="1"/>
    </x:xf>
    <x:xf numFmtId="0" fontId="26" fillId="16" borderId="10" xfId="0" applyNumberFormat="1" applyFont="1" applyFill="1" applyBorder="1" applyAlignment="1">
      <x:alignment vertical="center" wrapText="0"/>
    </x:xf>
    <x:xf numFmtId="200" fontId="26" fillId="16" borderId="10" xfId="0" applyNumberFormat="1" applyFont="1" applyFill="1" applyBorder="1" applyAlignment="1">
      <x:alignment vertical="center" wrapText="0"/>
    </x:xf>
    <x:xf numFmtId="201" fontId="26" fillId="17" borderId="10" xfId="0" applyNumberFormat="1" applyFont="1" applyFill="1" applyBorder="1" applyAlignment="1">
      <x:alignment vertical="center" wrapText="0"/>
    </x:xf>
    <x:xf numFmtId="200" fontId="22" fillId="16" borderId="10" xfId="0" applyNumberFormat="1" applyFont="1" applyFill="1" applyBorder="1" applyAlignment="1">
      <x:alignment vertical="center" wrapText="0"/>
    </x:xf>
    <x:xf numFmtId="201" fontId="22" fillId="17" borderId="10" xfId="0" applyNumberFormat="1" applyFont="1" applyFill="1" applyBorder="1" applyAlignment="1">
      <x:alignment vertical="center" wrapText="0"/>
    </x:xf>
    <x:xf numFmtId="0" fontId="22" fillId="15" borderId="10" xfId="0" applyNumberFormat="1" applyFont="1" applyFill="1" applyBorder="1" applyAlignment="1">
      <x:alignment vertical="bottom" wrapText="1"/>
    </x:xf>
    <x:xf numFmtId="0" fontId="22" fillId="15" borderId="10" xfId="0" applyNumberFormat="1" applyFont="1" applyFill="1" applyBorder="1" applyAlignment="1">
      <x:alignment horizontal="center" vertical="bottom" wrapText="1"/>
    </x:xf>
    <x:xf numFmtId="49" fontId="22" fillId="17" borderId="10" xfId="0" applyNumberFormat="1" applyFont="1" applyFill="1" applyBorder="1" applyAlignment="1">
      <x:alignment horizontal="center" vertical="center" wrapText="1"/>
    </x:xf>
    <x:xf numFmtId="0" fontId="22" fillId="17" borderId="10" xfId="0" applyNumberFormat="1" applyFont="1" applyFill="1" applyBorder="1" applyAlignment="1">
      <x:alignment vertical="center" wrapText="1"/>
    </x:xf>
    <x:xf numFmtId="0" fontId="22" fillId="17" borderId="10" xfId="0" applyNumberFormat="1" applyFont="1" applyFill="1" applyBorder="1" applyAlignment="1">
      <x:alignment horizontal="center" vertical="center" wrapText="1"/>
    </x:xf>
    <x:xf numFmtId="167" fontId="22" fillId="17" borderId="10" xfId="0" applyNumberFormat="1" applyFont="1" applyFill="1" applyBorder="1" applyAlignment="1">
      <x:alignment horizontal="center" vertical="center" wrapText="1"/>
    </x:xf>
    <x:xf numFmtId="1" fontId="22" fillId="17" borderId="10" xfId="0" applyNumberFormat="1" applyFont="1" applyFill="1" applyBorder="1" applyAlignment="1">
      <x:alignment horizontal="center" vertical="center" wrapText="1"/>
    </x:xf>
    <x:xf numFmtId="0" fontId="23" fillId="17" borderId="10" xfId="0" applyNumberFormat="1" applyFont="1" applyFill="1" applyBorder="1" applyAlignment="1">
      <x:alignment vertical="center"/>
    </x:xf>
    <x:xf numFmtId="49" fontId="28" fillId="17" borderId="10" xfId="0" applyNumberFormat="1" applyFont="1" applyFill="1" applyBorder="1" applyAlignment="1">
      <x:alignment horizontal="center" vertical="center" wrapText="1"/>
    </x:xf>
    <x:xf numFmtId="0" fontId="28" fillId="17" borderId="10" xfId="0" applyNumberFormat="1" applyFont="1" applyFill="1" applyBorder="1" applyAlignment="1">
      <x:alignment vertical="center" wrapText="1"/>
    </x:xf>
    <x:xf numFmtId="0" fontId="28" fillId="17" borderId="10" xfId="0" applyNumberFormat="1" applyFont="1" applyFill="1" applyBorder="1" applyAlignment="1">
      <x:alignment horizontal="center" vertical="center" wrapText="1"/>
    </x:xf>
    <x:xf numFmtId="167" fontId="28" fillId="17" borderId="10" xfId="0" applyNumberFormat="1" applyFont="1" applyFill="1" applyBorder="1" applyAlignment="1">
      <x:alignment horizontal="center" vertical="center" wrapText="1"/>
    </x:xf>
    <x:xf numFmtId="1" fontId="28" fillId="17" borderId="10" xfId="0" applyNumberFormat="1" applyFont="1" applyFill="1" applyBorder="1" applyAlignment="1">
      <x:alignment horizontal="center" vertical="center" wrapText="1"/>
    </x:xf>
    <x:xf numFmtId="9" fontId="28" fillId="17" borderId="10" xfId="0" applyNumberFormat="1" applyFont="1" applyFill="1" applyBorder="1" applyAlignment="1">
      <x:alignment horizontal="center" vertical="center" wrapText="1"/>
    </x:xf>
    <x:xf numFmtId="200" fontId="28" fillId="17" borderId="10" xfId="0" applyNumberFormat="1" applyFont="1" applyFill="1" applyBorder="1" applyAlignment="1">
      <x:alignment horizontal="center" vertical="center" wrapText="1"/>
    </x:xf>
    <x:xf numFmtId="201" fontId="28" fillId="17" borderId="10" xfId="0" applyNumberFormat="1" applyFont="1" applyFill="1" applyBorder="1" applyAlignment="1">
      <x:alignment horizontal="center" vertical="center" wrapText="1"/>
    </x:xf>
    <x:xf numFmtId="49" fontId="23" fillId="17" borderId="10" xfId="0" applyNumberFormat="1" applyFont="1" applyFill="1" applyBorder="1" applyAlignment="1">
      <x:alignment horizontal="center" vertical="center" wrapText="1"/>
    </x:xf>
    <x:xf numFmtId="0" fontId="23" fillId="17" borderId="10" xfId="0" applyNumberFormat="1" applyFont="1" applyFill="1" applyBorder="1" applyAlignment="1">
      <x:alignment vertical="center" wrapText="1"/>
    </x:xf>
    <x:xf numFmtId="0" fontId="23" fillId="17" borderId="10" xfId="0" applyNumberFormat="1" applyFont="1" applyFill="1" applyBorder="1" applyAlignment="1">
      <x:alignment horizontal="center" vertical="center" wrapText="1"/>
    </x:xf>
    <x:xf numFmtId="200" fontId="23" fillId="17" borderId="10" xfId="0" applyNumberFormat="1" applyFont="1" applyFill="1" applyBorder="1" applyAlignment="1">
      <x:alignment horizontal="center" vertical="center" wrapText="1"/>
    </x:xf>
    <x:xf numFmtId="1" fontId="23" fillId="17" borderId="10" xfId="0" applyNumberFormat="1" applyFont="1" applyFill="1" applyBorder="1" applyAlignment="1">
      <x:alignment horizontal="center" vertical="center" wrapText="1"/>
    </x:xf>
    <x:xf numFmtId="49" fontId="22" fillId="18" borderId="10" xfId="0" applyNumberFormat="1" applyFont="1" applyFill="1" applyBorder="1" applyAlignment="1">
      <x:alignment horizontal="center" vertical="center" wrapText="1"/>
    </x:xf>
    <x:xf numFmtId="0" fontId="22" fillId="18" borderId="10" xfId="0" applyNumberFormat="1" applyFont="1" applyFill="1" applyBorder="1" applyAlignment="1">
      <x:alignment vertical="center" wrapText="1"/>
    </x:xf>
    <x:xf numFmtId="0" fontId="23" fillId="18" borderId="10" xfId="0" applyNumberFormat="1" applyFont="1" applyFill="1" applyBorder="1" applyAlignment="1">
      <x:alignment horizontal="center" vertical="center" wrapText="1"/>
    </x:xf>
    <x:xf numFmtId="200" fontId="23" fillId="18" borderId="10" xfId="0" applyNumberFormat="1" applyFont="1" applyFill="1" applyBorder="1" applyAlignment="1">
      <x:alignment horizontal="center" vertical="center" wrapText="1"/>
    </x:xf>
    <x:xf numFmtId="1" fontId="23" fillId="18" borderId="10" xfId="0" applyNumberFormat="1" applyFont="1" applyFill="1" applyBorder="1" applyAlignment="1">
      <x:alignment horizontal="center" vertical="center" wrapText="1"/>
    </x:xf>
    <x:xf numFmtId="9" fontId="22" fillId="18" borderId="10" xfId="0" applyNumberFormat="1" applyFont="1" applyFill="1" applyBorder="1" applyAlignment="1">
      <x:alignment horizontal="center" vertical="center" wrapText="1"/>
    </x:xf>
    <x:xf numFmtId="49" fontId="29" fillId="18" borderId="10" xfId="0" applyNumberFormat="1" applyFont="1" applyFill="1" applyBorder="1" applyAlignment="1">
      <x:alignment horizontal="center" vertical="center" wrapText="1"/>
    </x:xf>
    <x:xf numFmtId="0" fontId="29" fillId="18" borderId="10" xfId="0" applyNumberFormat="1" applyFont="1" applyFill="1" applyBorder="1" applyAlignment="1">
      <x:alignment vertical="center" wrapText="1"/>
    </x:xf>
    <x:xf numFmtId="0" fontId="29" fillId="18" borderId="10" xfId="0" applyNumberFormat="1" applyFont="1" applyFill="1" applyBorder="1" applyAlignment="1">
      <x:alignment horizontal="center" vertical="center" wrapText="1"/>
    </x:xf>
    <x:xf numFmtId="200" fontId="29" fillId="18" borderId="10" xfId="0" applyNumberFormat="1" applyFont="1" applyFill="1" applyBorder="1" applyAlignment="1">
      <x:alignment horizontal="center" vertical="center" wrapText="1"/>
    </x:xf>
    <x:xf numFmtId="1" fontId="29" fillId="18" borderId="10" xfId="0" applyNumberFormat="1" applyFont="1" applyFill="1" applyBorder="1" applyAlignment="1">
      <x:alignment horizontal="center" vertical="center" wrapText="1"/>
    </x:xf>
    <x:xf numFmtId="9" fontId="29" fillId="18" borderId="10" xfId="0" applyNumberFormat="1" applyFont="1" applyFill="1" applyBorder="1" applyAlignment="1">
      <x:alignment horizontal="center" vertical="center" wrapText="1"/>
    </x:xf>
    <x:xf numFmtId="0" fontId="23" fillId="19" borderId="10" xfId="0" applyNumberFormat="1" applyFont="1" applyFill="1" applyBorder="1" applyAlignment="1">
      <x:alignment vertical="center"/>
    </x:xf>
    <x:xf numFmtId="0" fontId="23" fillId="19" borderId="10" xfId="0" applyNumberFormat="1" applyFont="1" applyFill="1" applyBorder="1" applyAlignment="1">
      <x:alignment vertical="center" wrapText="0"/>
    </x:xf>
    <x:xf numFmtId="0" fontId="24" fillId="19" borderId="10" xfId="0" applyNumberFormat="1" applyFont="1" applyFill="1" applyBorder="1" applyAlignment="1">
      <x:alignment vertical="center" wrapText="0"/>
    </x:xf>
    <x:xf numFmtId="0" fontId="23" fillId="18" borderId="10" xfId="0" applyNumberFormat="1" applyFont="1" applyFill="1" applyBorder="1" applyAlignment="1">
      <x:alignment vertical="center" wrapText="1"/>
    </x:xf>
    <x:xf numFmtId="0" fontId="23" fillId="18" borderId="10" xfId="0" applyNumberFormat="1" applyFont="1" applyFill="1" applyBorder="1"/>
    <x:xf numFmtId="0" fontId="29" fillId="18" borderId="10" xfId="0" applyNumberFormat="1" applyFont="1" applyFill="1" applyBorder="1"/>
    <x:xf numFmtId="0" fontId="23" fillId="17" borderId="10" xfId="0" applyNumberFormat="1" applyFont="1" applyFill="1" applyBorder="1" applyAlignment="1">
      <x:alignment wrapText="1"/>
    </x:xf>
    <x:xf numFmtId="0" fontId="28" fillId="17" borderId="10" xfId="0" applyNumberFormat="1" applyFont="1" applyFill="1" applyBorder="1" applyAlignment="1">
      <x:alignment wrapText="1"/>
    </x:xf>
    <x:xf numFmtId="167" fontId="23" fillId="17" borderId="10" xfId="0" applyNumberFormat="1" applyFont="1" applyFill="1" applyBorder="1" applyAlignment="1">
      <x:alignment vertical="center" wrapText="1"/>
    </x:xf>
    <x:xf numFmtId="167" fontId="28" fillId="17" borderId="10" xfId="0" applyNumberFormat="1" applyFont="1" applyFill="1" applyBorder="1" applyAlignment="1">
      <x:alignment vertical="center" wrapText="1"/>
    </x:xf>
    <x:xf numFmtId="0" fontId="23" fillId="20" borderId="10" xfId="0" applyNumberFormat="1" applyFont="1" applyFill="1" applyBorder="1" applyAlignment="1">
      <x:alignment vertical="center" wrapText="1"/>
    </x:xf>
    <x:xf numFmtId="0" fontId="23" fillId="20" borderId="10" xfId="0" applyNumberFormat="1" applyFont="1" applyFill="1" applyBorder="1" applyAlignment="1">
      <x:alignment wrapText="1"/>
    </x:xf>
    <x:xf numFmtId="0" fontId="28" fillId="20" borderId="10" xfId="0" applyNumberFormat="1" applyFont="1" applyFill="1" applyBorder="1" applyAlignment="1">
      <x:alignment vertical="center" wrapText="1"/>
    </x:xf>
    <x:xf numFmtId="0" fontId="28" fillId="20" borderId="10" xfId="0" applyNumberFormat="1" applyFont="1" applyFill="1" applyBorder="1" applyAlignment="1">
      <x:alignment wrapText="1"/>
    </x:xf>
    <x:xf numFmtId="167" fontId="23" fillId="20" borderId="10" xfId="0" applyNumberFormat="1" applyFont="1" applyFill="1" applyBorder="1" applyAlignment="1">
      <x:alignment vertical="center" wrapText="1"/>
    </x:xf>
    <x:xf numFmtId="167" fontId="28" fillId="20" borderId="10" xfId="0" applyNumberFormat="1" applyFont="1" applyFill="1" applyBorder="1" applyAlignment="1">
      <x:alignment vertical="center" wrapText="1"/>
    </x:xf>
    <x:xf numFmtId="0" fontId="24" fillId="20" borderId="10" xfId="0" applyNumberFormat="1" applyFont="1" applyFill="1" applyBorder="1" applyAlignment="1">
      <x:alignment vertical="bottom" wrapText="1"/>
    </x:xf>
    <x:xf numFmtId="0" fontId="30" fillId="20" borderId="10" xfId="0" applyNumberFormat="1" applyFont="1" applyFill="1" applyBorder="1" applyAlignment="1">
      <x:alignment vertical="bottom" wrapText="1"/>
    </x:xf>
    <x:xf numFmtId="0" fontId="28" fillId="17" borderId="10" xfId="0" applyNumberFormat="1" applyFont="1" applyFill="1" applyBorder="1" applyAlignment="1">
      <x:alignment vertical="top" wrapText="1"/>
    </x:xf>
    <x:xf numFmtId="0" fontId="28" fillId="20" borderId="10" xfId="0" applyNumberFormat="1" applyFont="1" applyFill="1" applyBorder="1" applyAlignment="1">
      <x:alignment vertical="top" wrapText="1"/>
    </x:xf>
    <x:xf numFmtId="167" fontId="23" fillId="15" borderId="10" xfId="0" applyNumberFormat="1" applyFont="1" applyFill="1" applyBorder="1" applyAlignment="1">
      <x:alignment vertical="top" wrapText="1"/>
    </x:xf>
    <x:xf numFmtId="167" fontId="28" fillId="17" borderId="10" xfId="0" applyNumberFormat="1" applyFont="1" applyFill="1" applyBorder="1" applyAlignment="1">
      <x:alignment vertical="top" wrapText="1"/>
    </x:xf>
    <x:xf numFmtId="167" fontId="28" fillId="20" borderId="10" xfId="0" applyNumberFormat="1" applyFont="1" applyFill="1" applyBorder="1" applyAlignment="1">
      <x:alignment vertical="top" wrapText="1"/>
    </x:xf>
    <x:xf numFmtId="0" fontId="30" fillId="20" borderId="10" xfId="0" applyNumberFormat="1" applyFont="1" applyFill="1" applyBorder="1" applyAlignment="1">
      <x:alignment vertical="top" wrapText="1"/>
    </x:xf>
    <x:xf numFmtId="49" fontId="28" fillId="21" borderId="10" xfId="0" applyNumberFormat="1" applyFont="1" applyFill="1" applyBorder="1" applyAlignment="1">
      <x:alignment horizontal="center" vertical="center" wrapText="1"/>
    </x:xf>
    <x:xf numFmtId="0" fontId="28" fillId="21" borderId="10" xfId="0" applyNumberFormat="1" applyFont="1" applyFill="1" applyBorder="1" applyAlignment="1">
      <x:alignment vertical="center" wrapText="1"/>
    </x:xf>
    <x:xf numFmtId="0" fontId="28" fillId="21" borderId="10" xfId="0" applyNumberFormat="1" applyFont="1" applyFill="1" applyBorder="1" applyAlignment="1">
      <x:alignment horizontal="center" vertical="center" wrapText="1"/>
    </x:xf>
    <x:xf numFmtId="200" fontId="28" fillId="21" borderId="10" xfId="0" applyNumberFormat="1" applyFont="1" applyFill="1" applyBorder="1" applyAlignment="1">
      <x:alignment horizontal="center" vertical="center" wrapText="1"/>
    </x:xf>
    <x:xf numFmtId="1" fontId="28" fillId="21" borderId="10" xfId="0" applyNumberFormat="1" applyFont="1" applyFill="1" applyBorder="1" applyAlignment="1">
      <x:alignment horizontal="center" vertical="center" wrapText="1"/>
    </x:xf>
    <x:xf numFmtId="201" fontId="28" fillId="21" borderId="10" xfId="0" applyNumberFormat="1" applyFont="1" applyFill="1" applyBorder="1" applyAlignment="1">
      <x:alignment horizontal="center" vertical="center" wrapText="1"/>
    </x:xf>
    <x:xf numFmtId="0" fontId="23" fillId="21" borderId="10" xfId="0" applyNumberFormat="1" applyFont="1" applyFill="1" applyBorder="1" applyAlignment="1">
      <x:alignment vertical="center"/>
    </x:xf>
    <x:xf numFmtId="49" fontId="23" fillId="21" borderId="10" xfId="0" applyNumberFormat="1" applyFont="1" applyFill="1" applyBorder="1" applyAlignment="1">
      <x:alignment horizontal="center" vertical="center" wrapText="1"/>
    </x:xf>
    <x:xf numFmtId="0" fontId="23" fillId="21" borderId="10" xfId="0" applyNumberFormat="1" applyFont="1" applyFill="1" applyBorder="1" applyAlignment="1">
      <x:alignment vertical="center" wrapText="1"/>
    </x:xf>
    <x:xf numFmtId="0" fontId="23" fillId="21" borderId="10" xfId="0" applyNumberFormat="1" applyFont="1" applyFill="1" applyBorder="1" applyAlignment="1">
      <x:alignment horizontal="center" vertical="center" wrapText="1"/>
    </x:xf>
    <x:xf numFmtId="200" fontId="23" fillId="21" borderId="10" xfId="0" applyNumberFormat="1" applyFont="1" applyFill="1" applyBorder="1" applyAlignment="1">
      <x:alignment horizontal="center" vertical="center" wrapText="1"/>
    </x:xf>
    <x:xf numFmtId="1" fontId="23" fillId="21" borderId="10" xfId="0" applyNumberFormat="1" applyFont="1" applyFill="1" applyBorder="1" applyAlignment="1">
      <x:alignment horizontal="center" vertical="center" wrapText="1"/>
    </x:xf>
    <x:xf numFmtId="201" fontId="22" fillId="21" borderId="10" xfId="0" applyNumberFormat="1" applyFont="1" applyFill="1" applyBorder="1" applyAlignment="1">
      <x:alignment horizontal="center" vertical="center" wrapText="1"/>
    </x:xf>
    <x:xf numFmtId="49" fontId="22" fillId="21" borderId="10" xfId="0" applyNumberFormat="1" applyFont="1" applyFill="1" applyBorder="1" applyAlignment="1">
      <x:alignment horizontal="center" vertical="center" wrapText="1"/>
    </x:xf>
    <x:xf numFmtId="0" fontId="22" fillId="21" borderId="10" xfId="0" applyNumberFormat="1" applyFont="1" applyFill="1" applyBorder="1" applyAlignment="1">
      <x:alignment vertical="center" wrapText="1"/>
    </x:xf>
    <x:xf numFmtId="0" fontId="22" fillId="21" borderId="10" xfId="0" applyNumberFormat="1" applyFont="1" applyFill="1" applyBorder="1" applyAlignment="1">
      <x:alignment horizontal="center" vertical="center" wrapText="1"/>
    </x:xf>
    <x:xf numFmtId="200" fontId="22" fillId="21" borderId="10" xfId="0" applyNumberFormat="1" applyFont="1" applyFill="1" applyBorder="1" applyAlignment="1">
      <x:alignment horizontal="center" vertical="center" wrapText="1"/>
    </x:xf>
    <x:xf numFmtId="1" fontId="22" fillId="21" borderId="10" xfId="0" applyNumberFormat="1" applyFont="1" applyFill="1" applyBorder="1" applyAlignment="1">
      <x:alignment horizontal="center" vertical="center" wrapText="1"/>
    </x:xf>
    <x:xf numFmtId="0" fontId="22" fillId="21" borderId="10" xfId="0" applyNumberFormat="1" applyFont="1" applyFill="1" applyBorder="1" applyAlignment="1">
      <x:alignment vertical="center" wrapText="0"/>
    </x:xf>
    <x:xf numFmtId="200" fontId="22" fillId="21" borderId="10" xfId="0" applyNumberFormat="1" applyFont="1" applyFill="1" applyBorder="1" applyAlignment="1">
      <x:alignment vertical="center" wrapText="0"/>
    </x:xf>
    <x:xf numFmtId="201" fontId="22" fillId="21" borderId="10" xfId="0" applyNumberFormat="1" applyFont="1" applyFill="1" applyBorder="1" applyAlignment="1">
      <x:alignment vertical="center" wrapText="0"/>
    </x:xf>
    <x:xf numFmtId="0" fontId="23" fillId="21" borderId="10" xfId="0" applyNumberFormat="1" applyFont="1" applyFill="1" applyBorder="1" applyAlignment="1">
      <x:alignment vertical="center" wrapText="0"/>
    </x:xf>
    <x:xf numFmtId="9" fontId="22" fillId="21" borderId="10" xfId="0" applyNumberFormat="1" applyFont="1" applyFill="1" applyBorder="1" applyAlignment="1">
      <x:alignment horizontal="center" vertical="center" wrapText="1"/>
    </x:xf>
    <x:xf numFmtId="49" fontId="29" fillId="21" borderId="10" xfId="0" applyNumberFormat="1" applyFont="1" applyFill="1" applyBorder="1" applyAlignment="1">
      <x:alignment horizontal="center" vertical="center" wrapText="1"/>
    </x:xf>
    <x:xf numFmtId="0" fontId="29" fillId="21" borderId="10" xfId="0" applyNumberFormat="1" applyFont="1" applyFill="1" applyBorder="1" applyAlignment="1">
      <x:alignment vertical="center" wrapText="1"/>
    </x:xf>
    <x:xf numFmtId="0" fontId="29" fillId="21" borderId="10" xfId="0" applyNumberFormat="1" applyFont="1" applyFill="1" applyBorder="1" applyAlignment="1">
      <x:alignment horizontal="center" vertical="center" wrapText="1"/>
    </x:xf>
    <x:xf numFmtId="200" fontId="29" fillId="21" borderId="10" xfId="0" applyNumberFormat="1" applyFont="1" applyFill="1" applyBorder="1" applyAlignment="1">
      <x:alignment horizontal="center" vertical="center" wrapText="1"/>
    </x:xf>
    <x:xf numFmtId="1" fontId="29" fillId="21" borderId="10" xfId="0" applyNumberFormat="1" applyFont="1" applyFill="1" applyBorder="1" applyAlignment="1">
      <x:alignment horizontal="center" vertical="center" wrapText="1"/>
    </x:xf>
    <x:xf numFmtId="9" fontId="29" fillId="21" borderId="10" xfId="0" applyNumberFormat="1" applyFont="1" applyFill="1" applyBorder="1" applyAlignment="1">
      <x:alignment horizontal="center" vertical="center" wrapText="1"/>
    </x:xf>
    <x:xf numFmtId="0" fontId="9" fillId="21" borderId="5" xfId="0" applyNumberFormat="1" applyFont="1" applyFill="1" applyBorder="1" applyAlignment="1">
      <x:alignment horizontal="center" vertical="center" wrapText="1"/>
    </x:xf>
    <x:xf numFmtId="49" fontId="25" fillId="21" borderId="10" xfId="0" applyNumberFormat="1" applyFont="1" applyFill="1" applyBorder="1" applyAlignment="1">
      <x:alignment horizontal="center" vertical="center" wrapText="1"/>
    </x:xf>
    <x:xf numFmtId="0" fontId="25" fillId="21" borderId="10" xfId="0" applyNumberFormat="1" applyFont="1" applyFill="1" applyBorder="1" applyAlignment="1">
      <x:alignment vertical="center" wrapText="1"/>
    </x:xf>
    <x:xf numFmtId="0" fontId="26" fillId="21" borderId="10" xfId="0" applyNumberFormat="1" applyFont="1" applyFill="1" applyBorder="1" applyAlignment="1">
      <x:alignment horizontal="center" vertical="center" wrapText="1"/>
    </x:xf>
    <x:xf numFmtId="200" fontId="26" fillId="21" borderId="10" xfId="0" applyNumberFormat="1" applyFont="1" applyFill="1" applyBorder="1" applyAlignment="1">
      <x:alignment horizontal="center" vertical="center" wrapText="1"/>
    </x:xf>
    <x:xf numFmtId="1" fontId="26" fillId="21" borderId="10" xfId="0" applyNumberFormat="1" applyFont="1" applyFill="1" applyBorder="1" applyAlignment="1">
      <x:alignment horizontal="center" vertical="center" wrapText="1"/>
    </x:xf>
    <x:xf numFmtId="201" fontId="25" fillId="21" borderId="10" xfId="0" applyNumberFormat="1" applyFont="1" applyFill="1" applyBorder="1" applyAlignment="1">
      <x:alignment horizontal="center" vertical="center" wrapText="1"/>
    </x:xf>
    <x:xf numFmtId="0" fontId="26" fillId="21" borderId="10" xfId="0" applyNumberFormat="1" applyFont="1" applyFill="1" applyBorder="1" applyAlignment="1">
      <x:alignment vertical="center" wrapText="0"/>
    </x:xf>
    <x:xf numFmtId="0" fontId="26" fillId="21" borderId="10" xfId="0" applyNumberFormat="1" applyFont="1" applyFill="1" applyBorder="1" applyAlignment="1">
      <x:alignment vertical="center" wrapText="1"/>
    </x:xf>
    <x:xf numFmtId="200" fontId="26" fillId="21" borderId="10" xfId="0" applyNumberFormat="1" applyFont="1" applyFill="1" applyBorder="1" applyAlignment="1">
      <x:alignment vertical="center" wrapText="0"/>
    </x:xf>
    <x:xf numFmtId="201" fontId="26" fillId="21" borderId="10" xfId="0" applyNumberFormat="1" applyFont="1" applyFill="1" applyBorder="1" applyAlignment="1">
      <x:alignment vertical="center" wrapText="0"/>
    </x:xf>
    <x:xf numFmtId="0" fontId="24" fillId="21" borderId="10" xfId="0" applyNumberFormat="1" applyFont="1" applyFill="1" applyBorder="1" applyAlignment="1">
      <x:alignment vertical="center" wrapText="0"/>
    </x:xf>
    <x:xf numFmtId="49" fontId="31" fillId="21" borderId="10" xfId="0" applyNumberFormat="1" applyFont="1" applyFill="1" applyBorder="1" applyAlignment="1">
      <x:alignment horizontal="center" vertical="center" wrapText="1"/>
    </x:xf>
    <x:xf numFmtId="0" fontId="31" fillId="21" borderId="10" xfId="0" applyNumberFormat="1" applyFont="1" applyFill="1" applyBorder="1" applyAlignment="1">
      <x:alignment vertical="center" wrapText="1"/>
    </x:xf>
    <x:xf numFmtId="0" fontId="31" fillId="21" borderId="10" xfId="0" applyNumberFormat="1" applyFont="1" applyFill="1" applyBorder="1" applyAlignment="1">
      <x:alignment horizontal="center" vertical="center" wrapText="1"/>
    </x:xf>
    <x:xf numFmtId="200" fontId="31" fillId="21" borderId="10" xfId="0" applyNumberFormat="1" applyFont="1" applyFill="1" applyBorder="1" applyAlignment="1">
      <x:alignment horizontal="center" vertical="center" wrapText="1"/>
    </x:xf>
    <x:xf numFmtId="1" fontId="31" fillId="21" borderId="10" xfId="0" applyNumberFormat="1" applyFont="1" applyFill="1" applyBorder="1" applyAlignment="1">
      <x:alignment horizontal="center" vertical="center" wrapText="1"/>
    </x:xf>
    <x:xf numFmtId="201" fontId="31" fillId="21" borderId="10" xfId="0" applyNumberFormat="1" applyFont="1" applyFill="1" applyBorder="1" applyAlignment="1">
      <x:alignment horizontal="center" vertical="center" wrapText="1"/>
    </x:xf>
    <x:xf numFmtId="0" fontId="31" fillId="21" borderId="10" xfId="0" applyNumberFormat="1" applyFont="1" applyFill="1" applyBorder="1" applyAlignment="1">
      <x:alignment vertical="center"/>
    </x:xf>
    <x:xf numFmtId="0" fontId="31" fillId="21" borderId="10" xfId="0" applyNumberFormat="1" applyFont="1" applyFill="1" applyBorder="1" applyAlignment="1">
      <x:alignment vertical="center" wrapText="0"/>
    </x:xf>
    <x:xf numFmtId="200" fontId="31" fillId="21" borderId="10" xfId="0" applyNumberFormat="1" applyFont="1" applyFill="1" applyBorder="1" applyAlignment="1">
      <x:alignment vertical="center" wrapText="0"/>
    </x:xf>
    <x:xf numFmtId="201" fontId="31" fillId="21" borderId="10" xfId="0" applyNumberFormat="1" applyFont="1" applyFill="1" applyBorder="1" applyAlignment="1">
      <x:alignment vertical="center" wrapText="0"/>
    </x:xf>
    <x:xf numFmtId="9" fontId="31" fillId="21" borderId="10" xfId="0" applyNumberFormat="1" applyFont="1" applyFill="1" applyBorder="1" applyAlignment="1">
      <x:alignment horizontal="center" vertical="center" wrapText="1"/>
    </x:xf>
    <x:xf numFmtId="0" fontId="31" fillId="21" borderId="5" xfId="0" applyNumberFormat="1" applyFont="1" applyFill="1" applyBorder="1" applyAlignment="1">
      <x:alignment horizontal="center" vertical="center" wrapText="1"/>
    </x:xf>
    <x:xf numFmtId="0" fontId="32" fillId="21" borderId="10" xfId="0" applyNumberFormat="1" applyFont="1" applyFill="1" applyBorder="1" applyAlignment="1">
      <x:alignment vertical="center" wrapText="0"/>
    </x:xf>
    <x:xf numFmtId="0" fontId="31" fillId="22" borderId="10" xfId="0" applyNumberFormat="1" applyFont="1" applyFill="1" applyBorder="1" applyAlignment="1">
      <x:alignment horizontal="center" vertical="center" wrapText="1"/>
    </x:xf>
    <x:xf numFmtId="200" fontId="31" fillId="22" borderId="10" xfId="0" applyNumberFormat="1" applyFont="1" applyFill="1" applyBorder="1" applyAlignment="1">
      <x:alignment horizontal="center" vertical="center" wrapText="1"/>
    </x:xf>
    <x:xf numFmtId="0" fontId="31" fillId="22" borderId="10" xfId="0" applyNumberFormat="1" applyFont="1" applyFill="1" applyBorder="1" applyAlignment="1">
      <x:alignment vertical="center" wrapText="0"/>
    </x:xf>
    <x:xf numFmtId="200" fontId="31" fillId="22" borderId="10" xfId="0" applyNumberFormat="1" applyFont="1" applyFill="1" applyBorder="1" applyAlignment="1">
      <x:alignment vertical="center" wrapText="0"/>
    </x:xf>
    <x:xf numFmtId="201" fontId="31" fillId="23" borderId="10" xfId="0" applyNumberFormat="1" applyFont="1" applyFill="1" applyBorder="1" applyAlignment="1">
      <x:alignment horizontal="center" vertical="center" wrapText="1"/>
    </x:xf>
    <x:xf numFmtId="201" fontId="31" fillId="23" borderId="10" xfId="0" applyNumberFormat="1" applyFont="1" applyFill="1" applyBorder="1" applyAlignment="1">
      <x:alignment vertical="center" wrapText="0"/>
    </x:xf>
    <x:xf numFmtId="9" fontId="31" fillId="23" borderId="10" xfId="0" applyNumberFormat="1" applyFont="1" applyFill="1" applyBorder="1" applyAlignment="1">
      <x:alignment horizontal="center" vertical="center" wrapText="1"/>
    </x:xf>
    <x:xf numFmtId="0" fontId="31" fillId="23" borderId="10" xfId="0" applyNumberFormat="1" applyFont="1" applyFill="1" applyBorder="1" applyAlignment="1">
      <x:alignment horizontal="center" vertical="center" wrapText="1"/>
    </x:xf>
    <x:xf numFmtId="49" fontId="23" fillId="21" borderId="10" xfId="0" applyNumberFormat="1" applyFont="1" applyFill="1" applyBorder="1" applyAlignment="1">
      <x:alignment horizontal="center" vertical="top" wrapText="1"/>
    </x:xf>
    <x:xf numFmtId="0" fontId="23" fillId="21" borderId="10" xfId="0" applyNumberFormat="1" applyFont="1" applyFill="1" applyBorder="1" applyAlignment="1">
      <x:alignment horizontal="center" vertical="top" wrapText="1"/>
    </x:xf>
    <x:xf numFmtId="0" fontId="23" fillId="21" borderId="10" xfId="0" applyNumberFormat="1" applyFont="1" applyFill="1" applyBorder="1" applyAlignment="1">
      <x:alignment vertical="top" wrapText="1"/>
    </x:xf>
    <x:xf numFmtId="0" fontId="24" fillId="21" borderId="10" xfId="0" applyNumberFormat="1" applyFont="1" applyFill="1" applyBorder="1" applyAlignment="1">
      <x:alignment vertical="top" wrapText="1"/>
    </x:xf>
    <x:xf numFmtId="0" fontId="22" fillId="21" borderId="10" xfId="0" applyNumberFormat="1" applyFont="1" applyFill="1" applyBorder="1" applyAlignment="1">
      <x:alignment vertical="top" wrapText="1"/>
    </x:xf>
    <x:xf numFmtId="0" fontId="22" fillId="21" borderId="10" xfId="0" applyNumberFormat="1" applyFont="1" applyFill="1" applyBorder="1" applyAlignment="1">
      <x:alignment horizontal="center" vertical="top" wrapText="1"/>
    </x:xf>
    <x:xf numFmtId="0" fontId="23" fillId="21" borderId="10" xfId="0" applyNumberFormat="1" applyFont="1" applyFill="1" applyBorder="1"/>
    <x:xf numFmtId="0" fontId="29" fillId="21" borderId="10" xfId="0" applyNumberFormat="1" applyFont="1" applyFill="1" applyBorder="1"/>
    <x:xf numFmtId="0" fontId="4" fillId="21" borderId="1" xfId="0" applyNumberFormat="1" applyFont="1" applyFill="1" applyBorder="1" applyAlignment="1">
      <x:alignment horizontal="center" vertical="center" wrapText="1"/>
    </x:xf>
    <x:xf numFmtId="0" fontId="26" fillId="21" borderId="10" xfId="0" applyNumberFormat="1" applyFont="1" applyFill="1" applyBorder="1" applyAlignment="1">
      <x:alignment vertical="top" wrapText="1"/>
    </x:xf>
    <x:xf numFmtId="0" fontId="27" fillId="21" borderId="10" xfId="0" applyNumberFormat="1" applyFont="1" applyFill="1" applyBorder="1" applyAlignment="1">
      <x:alignment vertical="top" wrapText="1"/>
    </x:xf>
    <x:xf numFmtId="0" fontId="25" fillId="21" borderId="10" xfId="0" applyNumberFormat="1" applyFont="1" applyFill="1" applyBorder="1" applyAlignment="1">
      <x:alignment vertical="top" wrapText="1"/>
    </x:xf>
    <x:xf numFmtId="0" fontId="25" fillId="21" borderId="10" xfId="0" applyNumberFormat="1" applyFont="1" applyFill="1" applyBorder="1" applyAlignment="1">
      <x:alignment horizontal="center" vertical="top" wrapText="1"/>
    </x:xf>
    <x:xf numFmtId="0" fontId="28" fillId="21" borderId="10" xfId="0" applyNumberFormat="1" applyFont="1" applyFill="1" applyBorder="1" applyAlignment="1">
      <x:alignment vertical="top" wrapText="1"/>
    </x:xf>
    <x:xf numFmtId="167" fontId="23" fillId="21" borderId="10" xfId="0" applyNumberFormat="1" applyFont="1" applyFill="1" applyBorder="1" applyAlignment="1">
      <x:alignment vertical="top" wrapText="1"/>
    </x:xf>
    <x:xf numFmtId="167" fontId="28" fillId="21" borderId="10" xfId="0" applyNumberFormat="1" applyFont="1" applyFill="1" applyBorder="1" applyAlignment="1">
      <x:alignment vertical="top" wrapText="1"/>
    </x:xf>
    <x:xf numFmtId="0" fontId="30" fillId="21" borderId="10" xfId="0" applyNumberFormat="1" applyFont="1" applyFill="1" applyBorder="1" applyAlignment="1">
      <x:alignment vertical="top" wrapText="1"/>
    </x:xf>
    <x:xf numFmtId="49" fontId="31" fillId="21" borderId="10" xfId="0" applyNumberFormat="1" applyFont="1" applyFill="1" applyBorder="1" applyAlignment="1">
      <x:alignment horizontal="center" vertical="top" wrapText="1"/>
    </x:xf>
    <x:xf numFmtId="0" fontId="31" fillId="21" borderId="10" xfId="0" applyNumberFormat="1" applyFont="1" applyFill="1" applyBorder="1" applyAlignment="1">
      <x:alignment horizontal="center" vertical="top" wrapText="1"/>
    </x:xf>
    <x:xf numFmtId="0" fontId="31" fillId="21" borderId="10" xfId="0" applyNumberFormat="1" applyFont="1" applyFill="1" applyBorder="1" applyAlignment="1">
      <x:alignment vertical="top" wrapText="1"/>
    </x:xf>
    <x:xf numFmtId="0" fontId="32" fillId="21" borderId="10" xfId="0" applyNumberFormat="1" applyFont="1" applyFill="1" applyBorder="1" applyAlignment="1">
      <x:alignment vertical="top" wrapText="1"/>
    </x:xf>
    <x:xf numFmtId="0" fontId="31" fillId="21" borderId="10" xfId="0" applyNumberFormat="1" applyFont="1" applyFill="1" applyBorder="1"/>
    <x:xf numFmtId="0" fontId="31" fillId="21" borderId="1" xfId="0" applyNumberFormat="1" applyFont="1" applyFill="1" applyBorder="1" applyAlignment="1">
      <x:alignment horizontal="center" vertical="center" wrapText="1"/>
    </x:xf>
    <x:xf numFmtId="167" fontId="31" fillId="21" borderId="10" xfId="0" applyNumberFormat="1" applyFont="1" applyFill="1" applyBorder="1" applyAlignment="1">
      <x:alignment vertical="top" wrapText="1"/>
    </x:xf>
    <x:xf numFmtId="49" fontId="33" fillId="21" borderId="10" xfId="0" applyNumberFormat="1" applyFont="1" applyFill="1" applyBorder="1" applyAlignment="1">
      <x:alignment horizontal="center" vertical="center" wrapText="1"/>
    </x:xf>
    <x:xf numFmtId="0" fontId="33" fillId="21" borderId="10" xfId="0" applyNumberFormat="1" applyFont="1" applyFill="1" applyBorder="1" applyAlignment="1">
      <x:alignment vertical="center" wrapText="1"/>
    </x:xf>
    <x:xf numFmtId="0" fontId="33" fillId="22" borderId="10" xfId="0" applyNumberFormat="1" applyFont="1" applyFill="1" applyBorder="1" applyAlignment="1">
      <x:alignment horizontal="center" vertical="center" wrapText="1"/>
    </x:xf>
    <x:xf numFmtId="200" fontId="33" fillId="22" borderId="10" xfId="0" applyNumberFormat="1" applyFont="1" applyFill="1" applyBorder="1" applyAlignment="1">
      <x:alignment horizontal="center" vertical="center" wrapText="1"/>
    </x:xf>
    <x:xf numFmtId="1" fontId="33" fillId="21" borderId="10" xfId="0" applyNumberFormat="1" applyFont="1" applyFill="1" applyBorder="1" applyAlignment="1">
      <x:alignment horizontal="center" vertical="center" wrapText="1"/>
    </x:xf>
    <x:xf numFmtId="201" fontId="33" fillId="23" borderId="10" xfId="0" applyNumberFormat="1" applyFont="1" applyFill="1" applyBorder="1" applyAlignment="1">
      <x:alignment horizontal="center" vertical="center" wrapText="1"/>
    </x:xf>
    <x:xf numFmtId="0" fontId="33" fillId="21" borderId="10" xfId="0" applyNumberFormat="1" applyFont="1" applyFill="1" applyBorder="1" applyAlignment="1">
      <x:alignment vertical="top" wrapText="1"/>
    </x:xf>
    <x:xf numFmtId="0" fontId="34" fillId="21" borderId="10" xfId="0" applyNumberFormat="1" applyFont="1" applyFill="1" applyBorder="1" applyAlignment="1">
      <x:alignment vertical="top" wrapText="1"/>
    </x:xf>
    <x:xf numFmtId="0" fontId="33" fillId="21" borderId="10" xfId="0" applyNumberFormat="1" applyFont="1" applyFill="1" applyBorder="1" applyAlignment="1">
      <x:alignment horizontal="center" vertical="top" wrapText="1"/>
    </x:xf>
    <x:xf numFmtId="0" fontId="33" fillId="21" borderId="10" xfId="0" applyNumberFormat="1" applyFont="1" applyFill="1" applyBorder="1" applyAlignment="1">
      <x:alignment vertical="center" wrapText="0"/>
    </x:xf>
    <x:xf numFmtId="0" fontId="33" fillId="22" borderId="10" xfId="0" applyNumberFormat="1" applyFont="1" applyFill="1" applyBorder="1" applyAlignment="1">
      <x:alignment vertical="center" wrapText="0"/>
    </x:xf>
    <x:xf numFmtId="200" fontId="33" fillId="22" borderId="10" xfId="0" applyNumberFormat="1" applyFont="1" applyFill="1" applyBorder="1" applyAlignment="1">
      <x:alignment vertical="center" wrapText="0"/>
    </x:xf>
    <x:xf numFmtId="201" fontId="33" fillId="23" borderId="10" xfId="0" applyNumberFormat="1" applyFont="1" applyFill="1" applyBorder="1" applyAlignment="1">
      <x:alignment vertical="center" wrapText="0"/>
    </x:xf>
    <x:xf numFmtId="49" fontId="31" fillId="23" borderId="10" xfId="0" applyNumberFormat="1" applyFont="1" applyFill="1" applyBorder="1" applyAlignment="1">
      <x:alignment horizontal="center" vertical="center" wrapText="1"/>
    </x:xf>
    <x:xf numFmtId="0" fontId="31" fillId="23" borderId="10" xfId="0" applyNumberFormat="1" applyFont="1" applyFill="1" applyBorder="1" applyAlignment="1">
      <x:alignment vertical="center" wrapText="1"/>
    </x:xf>
    <x:xf numFmtId="200" fontId="31" fillId="23" borderId="10" xfId="0" applyNumberFormat="1" applyFont="1" applyFill="1" applyBorder="1" applyAlignment="1">
      <x:alignment horizontal="center" vertical="center" wrapText="1"/>
    </x:xf>
    <x:xf numFmtId="1" fontId="31" fillId="23" borderId="10" xfId="0" applyNumberFormat="1" applyFont="1" applyFill="1" applyBorder="1" applyAlignment="1">
      <x:alignment horizontal="center" vertical="center" wrapText="1"/>
    </x:xf>
    <x:xf numFmtId="0" fontId="31" fillId="23" borderId="10" xfId="0" applyNumberFormat="1" applyFont="1" applyFill="1" applyBorder="1" applyAlignment="1">
      <x:alignment vertical="center"/>
    </x:xf>
    <x:xf numFmtId="49" fontId="28" fillId="23" borderId="10" xfId="0" applyNumberFormat="1" applyFont="1" applyFill="1" applyBorder="1" applyAlignment="1">
      <x:alignment horizontal="center" vertical="center" wrapText="1"/>
    </x:xf>
    <x:xf numFmtId="0" fontId="28" fillId="23" borderId="10" xfId="0" applyNumberFormat="1" applyFont="1" applyFill="1" applyBorder="1" applyAlignment="1">
      <x:alignment vertical="center" wrapText="1"/>
    </x:xf>
    <x:xf numFmtId="0" fontId="28" fillId="23" borderId="10" xfId="0" applyNumberFormat="1" applyFont="1" applyFill="1" applyBorder="1" applyAlignment="1">
      <x:alignment horizontal="center" vertical="center" wrapText="1"/>
    </x:xf>
    <x:xf numFmtId="200" fontId="28" fillId="23" borderId="10" xfId="0" applyNumberFormat="1" applyFont="1" applyFill="1" applyBorder="1" applyAlignment="1">
      <x:alignment horizontal="center" vertical="center" wrapText="1"/>
    </x:xf>
    <x:xf numFmtId="1" fontId="28" fillId="23" borderId="10" xfId="0" applyNumberFormat="1" applyFont="1" applyFill="1" applyBorder="1" applyAlignment="1">
      <x:alignment horizontal="center" vertical="center" wrapText="1"/>
    </x:xf>
    <x:xf numFmtId="201" fontId="28" fillId="23" borderId="10" xfId="0" applyNumberFormat="1" applyFont="1" applyFill="1" applyBorder="1" applyAlignment="1">
      <x:alignment horizontal="center" vertical="center" wrapText="1"/>
    </x:xf>
    <x:xf numFmtId="49" fontId="31" fillId="24" borderId="10" xfId="0" applyNumberFormat="1" applyFont="1" applyFill="1" applyBorder="1" applyAlignment="1">
      <x:alignment horizontal="center" vertical="center" wrapText="1"/>
    </x:xf>
    <x:xf numFmtId="0" fontId="31" fillId="24" borderId="10" xfId="0" applyNumberFormat="1" applyFont="1" applyFill="1" applyBorder="1" applyAlignment="1">
      <x:alignment vertical="center" wrapText="1"/>
    </x:xf>
    <x:xf numFmtId="0" fontId="31" fillId="24" borderId="10" xfId="0" applyNumberFormat="1" applyFont="1" applyFill="1" applyBorder="1" applyAlignment="1">
      <x:alignment horizontal="center" vertical="center" wrapText="1"/>
    </x:xf>
    <x:xf numFmtId="200" fontId="31" fillId="24" borderId="10" xfId="0" applyNumberFormat="1" applyFont="1" applyFill="1" applyBorder="1" applyAlignment="1">
      <x:alignment horizontal="center" vertical="center" wrapText="1"/>
    </x:xf>
    <x:xf numFmtId="1" fontId="31" fillId="24" borderId="10" xfId="0" applyNumberFormat="1" applyFont="1" applyFill="1" applyBorder="1" applyAlignment="1">
      <x:alignment horizontal="center" vertical="center" wrapText="1"/>
    </x:xf>
    <x:xf numFmtId="9" fontId="31" fillId="24" borderId="10" xfId="0" applyNumberFormat="1" applyFont="1" applyFill="1" applyBorder="1" applyAlignment="1">
      <x:alignment horizontal="center" vertical="center" wrapText="1"/>
    </x:xf>
    <x:xf numFmtId="49" fontId="29" fillId="24" borderId="10" xfId="0" applyNumberFormat="1" applyFont="1" applyFill="1" applyBorder="1" applyAlignment="1">
      <x:alignment horizontal="center" vertical="center" wrapText="1"/>
    </x:xf>
    <x:xf numFmtId="0" fontId="29" fillId="24" borderId="10" xfId="0" applyNumberFormat="1" applyFont="1" applyFill="1" applyBorder="1" applyAlignment="1">
      <x:alignment vertical="center" wrapText="1"/>
    </x:xf>
    <x:xf numFmtId="0" fontId="29" fillId="24" borderId="10" xfId="0" applyNumberFormat="1" applyFont="1" applyFill="1" applyBorder="1" applyAlignment="1">
      <x:alignment horizontal="center" vertical="center" wrapText="1"/>
    </x:xf>
    <x:xf numFmtId="200" fontId="29" fillId="24" borderId="10" xfId="0" applyNumberFormat="1" applyFont="1" applyFill="1" applyBorder="1" applyAlignment="1">
      <x:alignment horizontal="center" vertical="center" wrapText="1"/>
    </x:xf>
    <x:xf numFmtId="1" fontId="29" fillId="24" borderId="10" xfId="0" applyNumberFormat="1" applyFont="1" applyFill="1" applyBorder="1" applyAlignment="1">
      <x:alignment horizontal="center" vertical="center" wrapText="1"/>
    </x:xf>
    <x:xf numFmtId="9" fontId="29" fillId="24" borderId="10" xfId="0" applyNumberFormat="1" applyFont="1" applyFill="1" applyBorder="1" applyAlignment="1">
      <x:alignment horizontal="center" vertical="center" wrapText="1"/>
    </x:xf>
    <x:xf numFmtId="0" fontId="31" fillId="25" borderId="10" xfId="0" applyNumberFormat="1" applyFont="1" applyFill="1" applyBorder="1" applyAlignment="1">
      <x:alignment vertical="center"/>
    </x:xf>
    <x:xf numFmtId="0" fontId="31" fillId="25" borderId="10" xfId="0" applyNumberFormat="1" applyFont="1" applyFill="1" applyBorder="1" applyAlignment="1">
      <x:alignment vertical="center" wrapText="0"/>
    </x:xf>
    <x:xf numFmtId="0" fontId="32" fillId="25" borderId="10" xfId="0" applyNumberFormat="1" applyFont="1" applyFill="1" applyBorder="1" applyAlignment="1">
      <x:alignment vertical="center" wrapText="0"/>
    </x:xf>
    <x:xf numFmtId="0" fontId="31" fillId="24" borderId="10" xfId="0" applyNumberFormat="1" applyFont="1" applyFill="1" applyBorder="1"/>
    <x:xf numFmtId="0" fontId="29" fillId="24" borderId="10" xfId="0" applyNumberFormat="1" applyFont="1" applyFill="1" applyBorder="1"/>
    <x:xf numFmtId="0" fontId="31" fillId="23" borderId="10" xfId="0" applyNumberFormat="1" applyFont="1" applyFill="1" applyBorder="1" applyAlignment="1">
      <x:alignment vertical="top" wrapText="1"/>
    </x:xf>
    <x:xf numFmtId="0" fontId="28" fillId="23" borderId="10" xfId="0" applyNumberFormat="1" applyFont="1" applyFill="1" applyBorder="1" applyAlignment="1">
      <x:alignment vertical="top" wrapText="1"/>
    </x:xf>
    <x:xf numFmtId="167" fontId="31" fillId="23" borderId="10" xfId="0" applyNumberFormat="1" applyFont="1" applyFill="1" applyBorder="1" applyAlignment="1">
      <x:alignment vertical="top" wrapText="1"/>
    </x:xf>
    <x:xf numFmtId="167" fontId="28" fillId="23" borderId="10" xfId="0" applyNumberFormat="1" applyFont="1" applyFill="1" applyBorder="1" applyAlignment="1">
      <x:alignment vertical="top" wrapText="1"/>
    </x:xf>
    <x:xf numFmtId="0" fontId="31" fillId="26" borderId="10" xfId="0" applyNumberFormat="1" applyFont="1" applyFill="1" applyBorder="1" applyAlignment="1">
      <x:alignment vertical="top" wrapText="1"/>
    </x:xf>
    <x:xf numFmtId="0" fontId="28" fillId="26" borderId="10" xfId="0" applyNumberFormat="1" applyFont="1" applyFill="1" applyBorder="1" applyAlignment="1">
      <x:alignment vertical="top" wrapText="1"/>
    </x:xf>
    <x:xf numFmtId="167" fontId="31" fillId="26" borderId="10" xfId="0" applyNumberFormat="1" applyFont="1" applyFill="1" applyBorder="1" applyAlignment="1">
      <x:alignment vertical="top" wrapText="1"/>
    </x:xf>
    <x:xf numFmtId="167" fontId="28" fillId="26" borderId="10" xfId="0" applyNumberFormat="1" applyFont="1" applyFill="1" applyBorder="1" applyAlignment="1">
      <x:alignment vertical="top" wrapText="1"/>
    </x:xf>
    <x:xf numFmtId="0" fontId="32" fillId="26" borderId="10" xfId="0" applyNumberFormat="1" applyFont="1" applyFill="1" applyBorder="1" applyAlignment="1">
      <x:alignment vertical="top" wrapText="1"/>
    </x:xf>
    <x:xf numFmtId="0" fontId="30" fillId="26" borderId="10" xfId="0" applyNumberFormat="1" applyFont="1" applyFill="1" applyBorder="1" applyAlignment="1">
      <x:alignment vertical="top" wrapText="1"/>
    </x:xf>
    <x:xf numFmtId="49" fontId="28" fillId="27" borderId="10" xfId="0" applyNumberFormat="1" applyFont="1" applyFill="1" applyBorder="1" applyAlignment="1">
      <x:alignment horizontal="center" vertical="center" wrapText="1"/>
    </x:xf>
    <x:xf numFmtId="0" fontId="28" fillId="27" borderId="10" xfId="0" applyNumberFormat="1" applyFont="1" applyFill="1" applyBorder="1" applyAlignment="1">
      <x:alignment vertical="center" wrapText="1"/>
    </x:xf>
    <x:xf numFmtId="0" fontId="28" fillId="27" borderId="10" xfId="0" applyNumberFormat="1" applyFont="1" applyFill="1" applyBorder="1" applyAlignment="1">
      <x:alignment horizontal="center" vertical="center" wrapText="1"/>
    </x:xf>
    <x:xf numFmtId="200" fontId="28" fillId="27" borderId="10" xfId="0" applyNumberFormat="1" applyFont="1" applyFill="1" applyBorder="1" applyAlignment="1">
      <x:alignment horizontal="center" vertical="center" wrapText="1"/>
    </x:xf>
    <x:xf numFmtId="1" fontId="28" fillId="27" borderId="10" xfId="0" applyNumberFormat="1" applyFont="1" applyFill="1" applyBorder="1" applyAlignment="1">
      <x:alignment horizontal="center" vertical="center" wrapText="1"/>
    </x:xf>
    <x:xf numFmtId="201" fontId="28" fillId="27" borderId="10" xfId="0" applyNumberFormat="1" applyFont="1" applyFill="1" applyBorder="1" applyAlignment="1">
      <x:alignment horizontal="center" vertical="center" wrapText="1"/>
    </x:xf>
    <x:xf numFmtId="0" fontId="23" fillId="27" borderId="10" xfId="0" applyNumberFormat="1" applyFont="1" applyFill="1" applyBorder="1" applyAlignment="1">
      <x:alignment vertical="center"/>
    </x:xf>
    <x:xf numFmtId="49" fontId="23" fillId="27" borderId="10" xfId="0" applyNumberFormat="1" applyFont="1" applyFill="1" applyBorder="1" applyAlignment="1">
      <x:alignment horizontal="center" vertical="center" wrapText="1"/>
    </x:xf>
    <x:xf numFmtId="0" fontId="23" fillId="27" borderId="10" xfId="0" applyNumberFormat="1" applyFont="1" applyFill="1" applyBorder="1" applyAlignment="1">
      <x:alignment vertical="center" wrapText="1"/>
    </x:xf>
    <x:xf numFmtId="0" fontId="23" fillId="27" borderId="10" xfId="0" applyNumberFormat="1" applyFont="1" applyFill="1" applyBorder="1" applyAlignment="1">
      <x:alignment horizontal="center" vertical="center" wrapText="1"/>
    </x:xf>
    <x:xf numFmtId="200" fontId="23" fillId="27" borderId="10" xfId="0" applyNumberFormat="1" applyFont="1" applyFill="1" applyBorder="1" applyAlignment="1">
      <x:alignment horizontal="center" vertical="center" wrapText="1"/>
    </x:xf>
    <x:xf numFmtId="1" fontId="23" fillId="27" borderId="10" xfId="0" applyNumberFormat="1" applyFont="1" applyFill="1" applyBorder="1" applyAlignment="1">
      <x:alignment horizontal="center" vertical="center" wrapText="1"/>
    </x:xf>
    <x:xf numFmtId="201" fontId="23" fillId="27" borderId="10" xfId="0" applyNumberFormat="1" applyFont="1" applyFill="1" applyBorder="1" applyAlignment="1">
      <x:alignment horizontal="center" vertical="center" wrapText="1"/>
    </x:xf>
    <x:xf numFmtId="0" fontId="23" fillId="27" borderId="10" xfId="0" applyNumberFormat="1" applyFont="1" applyFill="1" applyBorder="1" applyAlignment="1">
      <x:alignment vertical="center" wrapText="0"/>
    </x:xf>
    <x:xf numFmtId="200" fontId="23" fillId="27" borderId="10" xfId="0" applyNumberFormat="1" applyFont="1" applyFill="1" applyBorder="1" applyAlignment="1">
      <x:alignment vertical="center" wrapText="0"/>
    </x:xf>
    <x:xf numFmtId="201" fontId="23" fillId="27" borderId="10" xfId="0" applyNumberFormat="1" applyFont="1" applyFill="1" applyBorder="1" applyAlignment="1">
      <x:alignment vertical="center" wrapText="0"/>
    </x:xf>
    <x:xf numFmtId="9" fontId="23" fillId="27" borderId="10" xfId="0" applyNumberFormat="1" applyFont="1" applyFill="1" applyBorder="1" applyAlignment="1">
      <x:alignment horizontal="center" vertical="center" wrapText="1"/>
    </x:xf>
    <x:xf numFmtId="49" fontId="29" fillId="27" borderId="10" xfId="0" applyNumberFormat="1" applyFont="1" applyFill="1" applyBorder="1" applyAlignment="1">
      <x:alignment horizontal="center" vertical="center" wrapText="1"/>
    </x:xf>
    <x:xf numFmtId="0" fontId="29" fillId="27" borderId="10" xfId="0" applyNumberFormat="1" applyFont="1" applyFill="1" applyBorder="1" applyAlignment="1">
      <x:alignment vertical="center" wrapText="1"/>
    </x:xf>
    <x:xf numFmtId="0" fontId="29" fillId="27" borderId="10" xfId="0" applyNumberFormat="1" applyFont="1" applyFill="1" applyBorder="1" applyAlignment="1">
      <x:alignment horizontal="center" vertical="center" wrapText="1"/>
    </x:xf>
    <x:xf numFmtId="200" fontId="29" fillId="27" borderId="10" xfId="0" applyNumberFormat="1" applyFont="1" applyFill="1" applyBorder="1" applyAlignment="1">
      <x:alignment horizontal="center" vertical="center" wrapText="1"/>
    </x:xf>
    <x:xf numFmtId="1" fontId="29" fillId="27" borderId="10" xfId="0" applyNumberFormat="1" applyFont="1" applyFill="1" applyBorder="1" applyAlignment="1">
      <x:alignment horizontal="center" vertical="center" wrapText="1"/>
    </x:xf>
    <x:xf numFmtId="9" fontId="29" fillId="27" borderId="10" xfId="0" applyNumberFormat="1" applyFont="1" applyFill="1" applyBorder="1" applyAlignment="1">
      <x:alignment horizontal="center" vertical="center" wrapText="1"/>
    </x:xf>
    <x:xf numFmtId="0" fontId="9" fillId="27" borderId="5" xfId="0" applyNumberFormat="1" applyFont="1" applyFill="1" applyBorder="1" applyAlignment="1">
      <x:alignment horizontal="center" vertical="center" wrapText="1"/>
    </x:xf>
    <x:xf numFmtId="49" fontId="26" fillId="27" borderId="10" xfId="0" applyNumberFormat="1" applyFont="1" applyFill="1" applyBorder="1" applyAlignment="1">
      <x:alignment horizontal="center" vertical="center" wrapText="1"/>
    </x:xf>
    <x:xf numFmtId="0" fontId="26" fillId="27" borderId="10" xfId="0" applyNumberFormat="1" applyFont="1" applyFill="1" applyBorder="1" applyAlignment="1">
      <x:alignment vertical="center" wrapText="1"/>
    </x:xf>
    <x:xf numFmtId="0" fontId="26" fillId="27" borderId="10" xfId="0" applyNumberFormat="1" applyFont="1" applyFill="1" applyBorder="1" applyAlignment="1">
      <x:alignment horizontal="center" vertical="center" wrapText="1"/>
    </x:xf>
    <x:xf numFmtId="200" fontId="26" fillId="27" borderId="10" xfId="0" applyNumberFormat="1" applyFont="1" applyFill="1" applyBorder="1" applyAlignment="1">
      <x:alignment horizontal="center" vertical="center" wrapText="1"/>
    </x:xf>
    <x:xf numFmtId="1" fontId="26" fillId="27" borderId="10" xfId="0" applyNumberFormat="1" applyFont="1" applyFill="1" applyBorder="1" applyAlignment="1">
      <x:alignment horizontal="center" vertical="center" wrapText="1"/>
    </x:xf>
    <x:xf numFmtId="201" fontId="26" fillId="27" borderId="10" xfId="0" applyNumberFormat="1" applyFont="1" applyFill="1" applyBorder="1" applyAlignment="1">
      <x:alignment horizontal="center" vertical="center" wrapText="1"/>
    </x:xf>
    <x:xf numFmtId="0" fontId="26" fillId="27" borderId="10" xfId="0" applyNumberFormat="1" applyFont="1" applyFill="1" applyBorder="1" applyAlignment="1">
      <x:alignment vertical="center" wrapText="0"/>
    </x:xf>
    <x:xf numFmtId="200" fontId="26" fillId="27" borderId="10" xfId="0" applyNumberFormat="1" applyFont="1" applyFill="1" applyBorder="1" applyAlignment="1">
      <x:alignment vertical="center" wrapText="0"/>
    </x:xf>
    <x:xf numFmtId="201" fontId="26" fillId="27" borderId="10" xfId="0" applyNumberFormat="1" applyFont="1" applyFill="1" applyBorder="1" applyAlignment="1">
      <x:alignment vertical="center" wrapText="0"/>
    </x:xf>
    <x:xf numFmtId="0" fontId="24" fillId="27" borderId="10" xfId="0" applyNumberFormat="1" applyFont="1" applyFill="1" applyBorder="1" applyAlignment="1">
      <x:alignment vertical="center" wrapText="0"/>
    </x:xf>
    <x:xf numFmtId="49" fontId="35" fillId="27" borderId="10" xfId="0" applyNumberFormat="1" applyFont="1" applyFill="1" applyBorder="1" applyAlignment="1">
      <x:alignment horizontal="center" vertical="center" wrapText="1"/>
    </x:xf>
    <x:xf numFmtId="0" fontId="35" fillId="27" borderId="10" xfId="0" applyNumberFormat="1" applyFont="1" applyFill="1" applyBorder="1" applyAlignment="1">
      <x:alignment vertical="center" wrapText="1"/>
    </x:xf>
    <x:xf numFmtId="0" fontId="35" fillId="27" borderId="10" xfId="0" applyNumberFormat="1" applyFont="1" applyFill="1" applyBorder="1" applyAlignment="1">
      <x:alignment horizontal="center" vertical="center" wrapText="1"/>
    </x:xf>
    <x:xf numFmtId="200" fontId="35" fillId="27" borderId="10" xfId="0" applyNumberFormat="1" applyFont="1" applyFill="1" applyBorder="1" applyAlignment="1">
      <x:alignment horizontal="center" vertical="center" wrapText="1"/>
    </x:xf>
    <x:xf numFmtId="1" fontId="35" fillId="27" borderId="10" xfId="0" applyNumberFormat="1" applyFont="1" applyFill="1" applyBorder="1" applyAlignment="1">
      <x:alignment horizontal="center" vertical="center" wrapText="1"/>
    </x:xf>
    <x:xf numFmtId="201" fontId="35" fillId="27" borderId="10" xfId="0" applyNumberFormat="1" applyFont="1" applyFill="1" applyBorder="1" applyAlignment="1">
      <x:alignment horizontal="center" vertical="center" wrapText="1"/>
    </x:xf>
    <x:xf numFmtId="0" fontId="35" fillId="27" borderId="10" xfId="0" applyNumberFormat="1" applyFont="1" applyFill="1" applyBorder="1" applyAlignment="1">
      <x:alignment vertical="center"/>
    </x:xf>
    <x:xf numFmtId="0" fontId="35" fillId="27" borderId="10" xfId="0" applyNumberFormat="1" applyFont="1" applyFill="1" applyBorder="1" applyAlignment="1">
      <x:alignment vertical="center" wrapText="0"/>
    </x:xf>
    <x:xf numFmtId="200" fontId="35" fillId="27" borderId="10" xfId="0" applyNumberFormat="1" applyFont="1" applyFill="1" applyBorder="1" applyAlignment="1">
      <x:alignment vertical="center" wrapText="0"/>
    </x:xf>
    <x:xf numFmtId="201" fontId="35" fillId="27" borderId="10" xfId="0" applyNumberFormat="1" applyFont="1" applyFill="1" applyBorder="1" applyAlignment="1">
      <x:alignment vertical="center" wrapText="0"/>
    </x:xf>
    <x:xf numFmtId="9" fontId="35" fillId="27" borderId="10" xfId="0" applyNumberFormat="1" applyFont="1" applyFill="1" applyBorder="1" applyAlignment="1">
      <x:alignment horizontal="center" vertical="center" wrapText="1"/>
    </x:xf>
    <x:xf numFmtId="0" fontId="35" fillId="27" borderId="5" xfId="0" applyNumberFormat="1" applyFont="1" applyFill="1" applyBorder="1" applyAlignment="1">
      <x:alignment horizontal="center" vertical="center" wrapText="1"/>
    </x:xf>
    <x:xf numFmtId="0" fontId="36" fillId="27" borderId="10" xfId="0" applyNumberFormat="1" applyFont="1" applyFill="1" applyBorder="1" applyAlignment="1">
      <x:alignment vertical="center" wrapText="0"/>
    </x:xf>
    <x:xf numFmtId="0" fontId="35" fillId="28" borderId="10" xfId="0" applyNumberFormat="1" applyFont="1" applyFill="1" applyBorder="1" applyAlignment="1">
      <x:alignment horizontal="center" vertical="center" wrapText="1"/>
    </x:xf>
    <x:xf numFmtId="200" fontId="35" fillId="28" borderId="10" xfId="0" applyNumberFormat="1" applyFont="1" applyFill="1" applyBorder="1" applyAlignment="1">
      <x:alignment horizontal="center" vertical="center" wrapText="1"/>
    </x:xf>
    <x:xf numFmtId="0" fontId="35" fillId="28" borderId="10" xfId="0" applyNumberFormat="1" applyFont="1" applyFill="1" applyBorder="1" applyAlignment="1">
      <x:alignment vertical="center" wrapText="0"/>
    </x:xf>
    <x:xf numFmtId="200" fontId="35" fillId="28" borderId="10" xfId="0" applyNumberFormat="1" applyFont="1" applyFill="1" applyBorder="1" applyAlignment="1">
      <x:alignment vertical="center" wrapText="0"/>
    </x:xf>
    <x:xf numFmtId="201" fontId="35" fillId="29" borderId="10" xfId="0" applyNumberFormat="1" applyFont="1" applyFill="1" applyBorder="1" applyAlignment="1">
      <x:alignment horizontal="center" vertical="center" wrapText="1"/>
    </x:xf>
    <x:xf numFmtId="201" fontId="35" fillId="29" borderId="10" xfId="0" applyNumberFormat="1" applyFont="1" applyFill="1" applyBorder="1" applyAlignment="1">
      <x:alignment vertical="center" wrapText="0"/>
    </x:xf>
    <x:xf numFmtId="9" fontId="35" fillId="29" borderId="10" xfId="0" applyNumberFormat="1" applyFont="1" applyFill="1" applyBorder="1" applyAlignment="1">
      <x:alignment horizontal="center" vertical="center" wrapText="1"/>
    </x:xf>
    <x:xf numFmtId="0" fontId="35" fillId="29" borderId="10" xfId="0" applyNumberFormat="1" applyFont="1" applyFill="1" applyBorder="1" applyAlignment="1">
      <x:alignment horizontal="center" vertical="center" wrapText="1"/>
    </x:xf>
    <x:xf numFmtId="49" fontId="23" fillId="27" borderId="10" xfId="0" applyNumberFormat="1" applyFont="1" applyFill="1" applyBorder="1" applyAlignment="1">
      <x:alignment horizontal="center" vertical="top" wrapText="1"/>
    </x:xf>
    <x:xf numFmtId="0" fontId="23" fillId="27" borderId="10" xfId="0" applyNumberFormat="1" applyFont="1" applyFill="1" applyBorder="1" applyAlignment="1">
      <x:alignment horizontal="center" vertical="top" wrapText="1"/>
    </x:xf>
    <x:xf numFmtId="0" fontId="23" fillId="27" borderId="10" xfId="0" applyNumberFormat="1" applyFont="1" applyFill="1" applyBorder="1" applyAlignment="1">
      <x:alignment vertical="top" wrapText="1"/>
    </x:xf>
    <x:xf numFmtId="0" fontId="24" fillId="27" borderId="10" xfId="0" applyNumberFormat="1" applyFont="1" applyFill="1" applyBorder="1" applyAlignment="1">
      <x:alignment vertical="top" wrapText="1"/>
    </x:xf>
    <x:xf numFmtId="0" fontId="23" fillId="27" borderId="10" xfId="0" applyNumberFormat="1" applyFont="1" applyFill="1" applyBorder="1"/>
    <x:xf numFmtId="0" fontId="29" fillId="27" borderId="10" xfId="0" applyNumberFormat="1" applyFont="1" applyFill="1" applyBorder="1"/>
    <x:xf numFmtId="0" fontId="4" fillId="27" borderId="1" xfId="0" applyNumberFormat="1" applyFont="1" applyFill="1" applyBorder="1" applyAlignment="1">
      <x:alignment horizontal="center" vertical="center" wrapText="1"/>
    </x:xf>
    <x:xf numFmtId="0" fontId="26" fillId="27" borderId="10" xfId="0" applyNumberFormat="1" applyFont="1" applyFill="1" applyBorder="1" applyAlignment="1">
      <x:alignment vertical="top" wrapText="1"/>
    </x:xf>
    <x:xf numFmtId="0" fontId="27" fillId="27" borderId="10" xfId="0" applyNumberFormat="1" applyFont="1" applyFill="1" applyBorder="1" applyAlignment="1">
      <x:alignment vertical="top" wrapText="1"/>
    </x:xf>
    <x:xf numFmtId="0" fontId="26" fillId="27" borderId="10" xfId="0" applyNumberFormat="1" applyFont="1" applyFill="1" applyBorder="1" applyAlignment="1">
      <x:alignment horizontal="center" vertical="top" wrapText="1"/>
    </x:xf>
    <x:xf numFmtId="0" fontId="28" fillId="27" borderId="10" xfId="0" applyNumberFormat="1" applyFont="1" applyFill="1" applyBorder="1" applyAlignment="1">
      <x:alignment vertical="top" wrapText="1"/>
    </x:xf>
    <x:xf numFmtId="167" fontId="23" fillId="27" borderId="10" xfId="0" applyNumberFormat="1" applyFont="1" applyFill="1" applyBorder="1" applyAlignment="1">
      <x:alignment vertical="top" wrapText="1"/>
    </x:xf>
    <x:xf numFmtId="167" fontId="28" fillId="27" borderId="10" xfId="0" applyNumberFormat="1" applyFont="1" applyFill="1" applyBorder="1" applyAlignment="1">
      <x:alignment vertical="top" wrapText="1"/>
    </x:xf>
    <x:xf numFmtId="0" fontId="30" fillId="27" borderId="10" xfId="0" applyNumberFormat="1" applyFont="1" applyFill="1" applyBorder="1" applyAlignment="1">
      <x:alignment vertical="top" wrapText="1"/>
    </x:xf>
    <x:xf numFmtId="49" fontId="35" fillId="27" borderId="10" xfId="0" applyNumberFormat="1" applyFont="1" applyFill="1" applyBorder="1" applyAlignment="1">
      <x:alignment horizontal="center" vertical="top" wrapText="1"/>
    </x:xf>
    <x:xf numFmtId="0" fontId="35" fillId="27" borderId="10" xfId="0" applyNumberFormat="1" applyFont="1" applyFill="1" applyBorder="1" applyAlignment="1">
      <x:alignment horizontal="center" vertical="top" wrapText="1"/>
    </x:xf>
    <x:xf numFmtId="0" fontId="35" fillId="27" borderId="10" xfId="0" applyNumberFormat="1" applyFont="1" applyFill="1" applyBorder="1" applyAlignment="1">
      <x:alignment vertical="top" wrapText="1"/>
    </x:xf>
    <x:xf numFmtId="0" fontId="36" fillId="27" borderId="10" xfId="0" applyNumberFormat="1" applyFont="1" applyFill="1" applyBorder="1" applyAlignment="1">
      <x:alignment vertical="top" wrapText="1"/>
    </x:xf>
    <x:xf numFmtId="0" fontId="35" fillId="27" borderId="10" xfId="0" applyNumberFormat="1" applyFont="1" applyFill="1" applyBorder="1"/>
    <x:xf numFmtId="0" fontId="35" fillId="27" borderId="1" xfId="0" applyNumberFormat="1" applyFont="1" applyFill="1" applyBorder="1" applyAlignment="1">
      <x:alignment horizontal="center" vertical="center" wrapText="1"/>
    </x:xf>
    <x:xf numFmtId="167" fontId="35" fillId="27" borderId="10" xfId="0" applyNumberFormat="1" applyFont="1" applyFill="1" applyBorder="1" applyAlignment="1">
      <x:alignment vertical="top" wrapText="1"/>
    </x:xf>
    <x:xf numFmtId="49" fontId="37" fillId="27" borderId="10" xfId="0" applyNumberFormat="1" applyFont="1" applyFill="1" applyBorder="1" applyAlignment="1">
      <x:alignment horizontal="center" vertical="center" wrapText="1"/>
    </x:xf>
    <x:xf numFmtId="0" fontId="37" fillId="27" borderId="10" xfId="0" applyNumberFormat="1" applyFont="1" applyFill="1" applyBorder="1" applyAlignment="1">
      <x:alignment vertical="center" wrapText="1"/>
    </x:xf>
    <x:xf numFmtId="0" fontId="37" fillId="28" borderId="10" xfId="0" applyNumberFormat="1" applyFont="1" applyFill="1" applyBorder="1" applyAlignment="1">
      <x:alignment horizontal="center" vertical="center" wrapText="1"/>
    </x:xf>
    <x:xf numFmtId="200" fontId="37" fillId="28" borderId="10" xfId="0" applyNumberFormat="1" applyFont="1" applyFill="1" applyBorder="1" applyAlignment="1">
      <x:alignment horizontal="center" vertical="center" wrapText="1"/>
    </x:xf>
    <x:xf numFmtId="1" fontId="37" fillId="27" borderId="10" xfId="0" applyNumberFormat="1" applyFont="1" applyFill="1" applyBorder="1" applyAlignment="1">
      <x:alignment horizontal="center" vertical="center" wrapText="1"/>
    </x:xf>
    <x:xf numFmtId="201" fontId="37" fillId="29" borderId="10" xfId="0" applyNumberFormat="1" applyFont="1" applyFill="1" applyBorder="1" applyAlignment="1">
      <x:alignment horizontal="center" vertical="center" wrapText="1"/>
    </x:xf>
    <x:xf numFmtId="0" fontId="37" fillId="27" borderId="10" xfId="0" applyNumberFormat="1" applyFont="1" applyFill="1" applyBorder="1" applyAlignment="1">
      <x:alignment vertical="top" wrapText="1"/>
    </x:xf>
    <x:xf numFmtId="0" fontId="38" fillId="27" borderId="10" xfId="0" applyNumberFormat="1" applyFont="1" applyFill="1" applyBorder="1" applyAlignment="1">
      <x:alignment vertical="top" wrapText="1"/>
    </x:xf>
    <x:xf numFmtId="0" fontId="37" fillId="27" borderId="10" xfId="0" applyNumberFormat="1" applyFont="1" applyFill="1" applyBorder="1" applyAlignment="1">
      <x:alignment horizontal="center" vertical="top" wrapText="1"/>
    </x:xf>
    <x:xf numFmtId="0" fontId="37" fillId="27" borderId="10" xfId="0" applyNumberFormat="1" applyFont="1" applyFill="1" applyBorder="1" applyAlignment="1">
      <x:alignment vertical="center" wrapText="0"/>
    </x:xf>
    <x:xf numFmtId="0" fontId="37" fillId="28" borderId="10" xfId="0" applyNumberFormat="1" applyFont="1" applyFill="1" applyBorder="1" applyAlignment="1">
      <x:alignment vertical="center" wrapText="0"/>
    </x:xf>
    <x:xf numFmtId="200" fontId="37" fillId="28" borderId="10" xfId="0" applyNumberFormat="1" applyFont="1" applyFill="1" applyBorder="1" applyAlignment="1">
      <x:alignment vertical="center" wrapText="0"/>
    </x:xf>
    <x:xf numFmtId="201" fontId="37" fillId="29" borderId="10" xfId="0" applyNumberFormat="1" applyFont="1" applyFill="1" applyBorder="1" applyAlignment="1">
      <x:alignment vertical="center" wrapText="0"/>
    </x:xf>
    <x:xf numFmtId="49" fontId="35" fillId="29" borderId="10" xfId="0" applyNumberFormat="1" applyFont="1" applyFill="1" applyBorder="1" applyAlignment="1">
      <x:alignment horizontal="center" vertical="center" wrapText="1"/>
    </x:xf>
    <x:xf numFmtId="0" fontId="35" fillId="29" borderId="10" xfId="0" applyNumberFormat="1" applyFont="1" applyFill="1" applyBorder="1" applyAlignment="1">
      <x:alignment vertical="center" wrapText="1"/>
    </x:xf>
    <x:xf numFmtId="200" fontId="35" fillId="29" borderId="10" xfId="0" applyNumberFormat="1" applyFont="1" applyFill="1" applyBorder="1" applyAlignment="1">
      <x:alignment horizontal="center" vertical="center" wrapText="1"/>
    </x:xf>
    <x:xf numFmtId="1" fontId="35" fillId="29" borderId="10" xfId="0" applyNumberFormat="1" applyFont="1" applyFill="1" applyBorder="1" applyAlignment="1">
      <x:alignment horizontal="center" vertical="center" wrapText="1"/>
    </x:xf>
    <x:xf numFmtId="0" fontId="35" fillId="29" borderId="10" xfId="0" applyNumberFormat="1" applyFont="1" applyFill="1" applyBorder="1" applyAlignment="1">
      <x:alignment vertical="center"/>
    </x:xf>
    <x:xf numFmtId="49" fontId="28" fillId="29" borderId="10" xfId="0" applyNumberFormat="1" applyFont="1" applyFill="1" applyBorder="1" applyAlignment="1">
      <x:alignment horizontal="center" vertical="center" wrapText="1"/>
    </x:xf>
    <x:xf numFmtId="0" fontId="28" fillId="29" borderId="10" xfId="0" applyNumberFormat="1" applyFont="1" applyFill="1" applyBorder="1" applyAlignment="1">
      <x:alignment vertical="center" wrapText="1"/>
    </x:xf>
    <x:xf numFmtId="0" fontId="28" fillId="29" borderId="10" xfId="0" applyNumberFormat="1" applyFont="1" applyFill="1" applyBorder="1" applyAlignment="1">
      <x:alignment horizontal="center" vertical="center" wrapText="1"/>
    </x:xf>
    <x:xf numFmtId="200" fontId="28" fillId="29" borderId="10" xfId="0" applyNumberFormat="1" applyFont="1" applyFill="1" applyBorder="1" applyAlignment="1">
      <x:alignment horizontal="center" vertical="center" wrapText="1"/>
    </x:xf>
    <x:xf numFmtId="1" fontId="28" fillId="29" borderId="10" xfId="0" applyNumberFormat="1" applyFont="1" applyFill="1" applyBorder="1" applyAlignment="1">
      <x:alignment horizontal="center" vertical="center" wrapText="1"/>
    </x:xf>
    <x:xf numFmtId="201" fontId="28" fillId="29" borderId="10" xfId="0" applyNumberFormat="1" applyFont="1" applyFill="1" applyBorder="1" applyAlignment="1">
      <x:alignment horizontal="center" vertical="center" wrapText="1"/>
    </x:xf>
    <x:xf numFmtId="49" fontId="35" fillId="30" borderId="10" xfId="0" applyNumberFormat="1" applyFont="1" applyFill="1" applyBorder="1" applyAlignment="1">
      <x:alignment horizontal="center" vertical="center" wrapText="1"/>
    </x:xf>
    <x:xf numFmtId="0" fontId="35" fillId="30" borderId="10" xfId="0" applyNumberFormat="1" applyFont="1" applyFill="1" applyBorder="1" applyAlignment="1">
      <x:alignment vertical="center" wrapText="1"/>
    </x:xf>
    <x:xf numFmtId="0" fontId="35" fillId="30" borderId="10" xfId="0" applyNumberFormat="1" applyFont="1" applyFill="1" applyBorder="1" applyAlignment="1">
      <x:alignment horizontal="center" vertical="center" wrapText="1"/>
    </x:xf>
    <x:xf numFmtId="200" fontId="35" fillId="30" borderId="10" xfId="0" applyNumberFormat="1" applyFont="1" applyFill="1" applyBorder="1" applyAlignment="1">
      <x:alignment horizontal="center" vertical="center" wrapText="1"/>
    </x:xf>
    <x:xf numFmtId="1" fontId="35" fillId="30" borderId="10" xfId="0" applyNumberFormat="1" applyFont="1" applyFill="1" applyBorder="1" applyAlignment="1">
      <x:alignment horizontal="center" vertical="center" wrapText="1"/>
    </x:xf>
    <x:xf numFmtId="9" fontId="35" fillId="30" borderId="10" xfId="0" applyNumberFormat="1" applyFont="1" applyFill="1" applyBorder="1" applyAlignment="1">
      <x:alignment horizontal="center" vertical="center" wrapText="1"/>
    </x:xf>
    <x:xf numFmtId="49" fontId="29" fillId="30" borderId="10" xfId="0" applyNumberFormat="1" applyFont="1" applyFill="1" applyBorder="1" applyAlignment="1">
      <x:alignment horizontal="center" vertical="center" wrapText="1"/>
    </x:xf>
    <x:xf numFmtId="0" fontId="29" fillId="30" borderId="10" xfId="0" applyNumberFormat="1" applyFont="1" applyFill="1" applyBorder="1" applyAlignment="1">
      <x:alignment vertical="center" wrapText="1"/>
    </x:xf>
    <x:xf numFmtId="0" fontId="29" fillId="30" borderId="10" xfId="0" applyNumberFormat="1" applyFont="1" applyFill="1" applyBorder="1" applyAlignment="1">
      <x:alignment horizontal="center" vertical="center" wrapText="1"/>
    </x:xf>
    <x:xf numFmtId="200" fontId="29" fillId="30" borderId="10" xfId="0" applyNumberFormat="1" applyFont="1" applyFill="1" applyBorder="1" applyAlignment="1">
      <x:alignment horizontal="center" vertical="center" wrapText="1"/>
    </x:xf>
    <x:xf numFmtId="1" fontId="29" fillId="30" borderId="10" xfId="0" applyNumberFormat="1" applyFont="1" applyFill="1" applyBorder="1" applyAlignment="1">
      <x:alignment horizontal="center" vertical="center" wrapText="1"/>
    </x:xf>
    <x:xf numFmtId="9" fontId="29" fillId="30" borderId="10" xfId="0" applyNumberFormat="1" applyFont="1" applyFill="1" applyBorder="1" applyAlignment="1">
      <x:alignment horizontal="center" vertical="center" wrapText="1"/>
    </x:xf>
    <x:xf numFmtId="0" fontId="35" fillId="31" borderId="10" xfId="0" applyNumberFormat="1" applyFont="1" applyFill="1" applyBorder="1" applyAlignment="1">
      <x:alignment vertical="center"/>
    </x:xf>
    <x:xf numFmtId="0" fontId="35" fillId="31" borderId="10" xfId="0" applyNumberFormat="1" applyFont="1" applyFill="1" applyBorder="1" applyAlignment="1">
      <x:alignment vertical="center" wrapText="0"/>
    </x:xf>
    <x:xf numFmtId="0" fontId="36" fillId="31" borderId="10" xfId="0" applyNumberFormat="1" applyFont="1" applyFill="1" applyBorder="1" applyAlignment="1">
      <x:alignment vertical="center" wrapText="0"/>
    </x:xf>
    <x:xf numFmtId="0" fontId="35" fillId="30" borderId="10" xfId="0" applyNumberFormat="1" applyFont="1" applyFill="1" applyBorder="1"/>
    <x:xf numFmtId="0" fontId="29" fillId="30" borderId="10" xfId="0" applyNumberFormat="1" applyFont="1" applyFill="1" applyBorder="1"/>
    <x:xf numFmtId="0" fontId="35" fillId="29" borderId="10" xfId="0" applyNumberFormat="1" applyFont="1" applyFill="1" applyBorder="1" applyAlignment="1">
      <x:alignment vertical="top" wrapText="1"/>
    </x:xf>
    <x:xf numFmtId="0" fontId="28" fillId="29" borderId="10" xfId="0" applyNumberFormat="1" applyFont="1" applyFill="1" applyBorder="1" applyAlignment="1">
      <x:alignment vertical="top" wrapText="1"/>
    </x:xf>
    <x:xf numFmtId="167" fontId="35" fillId="29" borderId="10" xfId="0" applyNumberFormat="1" applyFont="1" applyFill="1" applyBorder="1" applyAlignment="1">
      <x:alignment vertical="top" wrapText="1"/>
    </x:xf>
    <x:xf numFmtId="167" fontId="28" fillId="29" borderId="10" xfId="0" applyNumberFormat="1" applyFont="1" applyFill="1" applyBorder="1" applyAlignment="1">
      <x:alignment vertical="top" wrapText="1"/>
    </x:xf>
    <x:xf numFmtId="0" fontId="35" fillId="32" borderId="10" xfId="0" applyNumberFormat="1" applyFont="1" applyFill="1" applyBorder="1" applyAlignment="1">
      <x:alignment vertical="top" wrapText="1"/>
    </x:xf>
    <x:xf numFmtId="0" fontId="28" fillId="32" borderId="10" xfId="0" applyNumberFormat="1" applyFont="1" applyFill="1" applyBorder="1" applyAlignment="1">
      <x:alignment vertical="top" wrapText="1"/>
    </x:xf>
    <x:xf numFmtId="167" fontId="35" fillId="32" borderId="10" xfId="0" applyNumberFormat="1" applyFont="1" applyFill="1" applyBorder="1" applyAlignment="1">
      <x:alignment vertical="top" wrapText="1"/>
    </x:xf>
    <x:xf numFmtId="167" fontId="28" fillId="32" borderId="10" xfId="0" applyNumberFormat="1" applyFont="1" applyFill="1" applyBorder="1" applyAlignment="1">
      <x:alignment vertical="top" wrapText="1"/>
    </x:xf>
    <x:xf numFmtId="0" fontId="36" fillId="32" borderId="10" xfId="0" applyNumberFormat="1" applyFont="1" applyFill="1" applyBorder="1" applyAlignment="1">
      <x:alignment vertical="top" wrapText="1"/>
    </x:xf>
    <x:xf numFmtId="0" fontId="30" fillId="32" borderId="10" xfId="0" applyNumberFormat="1" applyFont="1" applyFill="1" applyBorder="1" applyAlignment="1">
      <x:alignment vertical="top" wrapText="1"/>
    </x:xf>
    <x:xf numFmtId="49" fontId="28" fillId="33" borderId="10" xfId="0" applyNumberFormat="1" applyFont="1" applyFill="1" applyBorder="1" applyAlignment="1">
      <x:alignment horizontal="center" vertical="center" wrapText="1"/>
    </x:xf>
    <x:xf numFmtId="0" fontId="28" fillId="33" borderId="10" xfId="0" applyNumberFormat="1" applyFont="1" applyFill="1" applyBorder="1" applyAlignment="1">
      <x:alignment vertical="center" wrapText="1"/>
    </x:xf>
    <x:xf numFmtId="0" fontId="28" fillId="33" borderId="10" xfId="0" applyNumberFormat="1" applyFont="1" applyFill="1" applyBorder="1" applyAlignment="1">
      <x:alignment horizontal="center" vertical="center" wrapText="1"/>
    </x:xf>
    <x:xf numFmtId="200" fontId="28" fillId="33" borderId="10" xfId="0" applyNumberFormat="1" applyFont="1" applyFill="1" applyBorder="1" applyAlignment="1">
      <x:alignment horizontal="center" vertical="center" wrapText="1"/>
    </x:xf>
    <x:xf numFmtId="1" fontId="28" fillId="33" borderId="10" xfId="0" applyNumberFormat="1" applyFont="1" applyFill="1" applyBorder="1" applyAlignment="1">
      <x:alignment horizontal="center" vertical="center" wrapText="1"/>
    </x:xf>
    <x:xf numFmtId="201" fontId="28" fillId="33" borderId="10" xfId="0" applyNumberFormat="1" applyFont="1" applyFill="1" applyBorder="1" applyAlignment="1">
      <x:alignment horizontal="center" vertical="center" wrapText="1"/>
    </x:xf>
    <x:xf numFmtId="0" fontId="23" fillId="33" borderId="10" xfId="0" applyNumberFormat="1" applyFont="1" applyFill="1" applyBorder="1" applyAlignment="1">
      <x:alignment vertical="center"/>
    </x:xf>
    <x:xf numFmtId="49" fontId="23" fillId="33" borderId="10" xfId="0" applyNumberFormat="1" applyFont="1" applyFill="1" applyBorder="1" applyAlignment="1">
      <x:alignment horizontal="center" vertical="center" wrapText="1"/>
    </x:xf>
    <x:xf numFmtId="0" fontId="23" fillId="33" borderId="10" xfId="0" applyNumberFormat="1" applyFont="1" applyFill="1" applyBorder="1" applyAlignment="1">
      <x:alignment vertical="center" wrapText="1"/>
    </x:xf>
    <x:xf numFmtId="0" fontId="23" fillId="33" borderId="10" xfId="0" applyNumberFormat="1" applyFont="1" applyFill="1" applyBorder="1" applyAlignment="1">
      <x:alignment horizontal="center" vertical="center" wrapText="1"/>
    </x:xf>
    <x:xf numFmtId="200" fontId="23" fillId="33" borderId="10" xfId="0" applyNumberFormat="1" applyFont="1" applyFill="1" applyBorder="1" applyAlignment="1">
      <x:alignment horizontal="center" vertical="center" wrapText="1"/>
    </x:xf>
    <x:xf numFmtId="1" fontId="23" fillId="33" borderId="10" xfId="0" applyNumberFormat="1" applyFont="1" applyFill="1" applyBorder="1" applyAlignment="1">
      <x:alignment horizontal="center" vertical="center" wrapText="1"/>
    </x:xf>
    <x:xf numFmtId="201" fontId="23" fillId="33" borderId="10" xfId="0" applyNumberFormat="1" applyFont="1" applyFill="1" applyBorder="1" applyAlignment="1">
      <x:alignment horizontal="center" vertical="center" wrapText="1"/>
    </x:xf>
    <x:xf numFmtId="0" fontId="23" fillId="33" borderId="10" xfId="0" applyNumberFormat="1" applyFont="1" applyFill="1" applyBorder="1" applyAlignment="1">
      <x:alignment vertical="center" wrapText="0"/>
    </x:xf>
    <x:xf numFmtId="200" fontId="23" fillId="33" borderId="10" xfId="0" applyNumberFormat="1" applyFont="1" applyFill="1" applyBorder="1" applyAlignment="1">
      <x:alignment vertical="center" wrapText="0"/>
    </x:xf>
    <x:xf numFmtId="201" fontId="23" fillId="33" borderId="10" xfId="0" applyNumberFormat="1" applyFont="1" applyFill="1" applyBorder="1" applyAlignment="1">
      <x:alignment vertical="center" wrapText="0"/>
    </x:xf>
    <x:xf numFmtId="9" fontId="23" fillId="33" borderId="10" xfId="0" applyNumberFormat="1" applyFont="1" applyFill="1" applyBorder="1" applyAlignment="1">
      <x:alignment horizontal="center" vertical="center" wrapText="1"/>
    </x:xf>
    <x:xf numFmtId="49" fontId="29" fillId="33" borderId="10" xfId="0" applyNumberFormat="1" applyFont="1" applyFill="1" applyBorder="1" applyAlignment="1">
      <x:alignment horizontal="center" vertical="center" wrapText="1"/>
    </x:xf>
    <x:xf numFmtId="0" fontId="29" fillId="33" borderId="10" xfId="0" applyNumberFormat="1" applyFont="1" applyFill="1" applyBorder="1" applyAlignment="1">
      <x:alignment vertical="center" wrapText="1"/>
    </x:xf>
    <x:xf numFmtId="0" fontId="29" fillId="33" borderId="10" xfId="0" applyNumberFormat="1" applyFont="1" applyFill="1" applyBorder="1" applyAlignment="1">
      <x:alignment horizontal="center" vertical="center" wrapText="1"/>
    </x:xf>
    <x:xf numFmtId="200" fontId="29" fillId="33" borderId="10" xfId="0" applyNumberFormat="1" applyFont="1" applyFill="1" applyBorder="1" applyAlignment="1">
      <x:alignment horizontal="center" vertical="center" wrapText="1"/>
    </x:xf>
    <x:xf numFmtId="1" fontId="29" fillId="33" borderId="10" xfId="0" applyNumberFormat="1" applyFont="1" applyFill="1" applyBorder="1" applyAlignment="1">
      <x:alignment horizontal="center" vertical="center" wrapText="1"/>
    </x:xf>
    <x:xf numFmtId="9" fontId="29" fillId="33" borderId="10" xfId="0" applyNumberFormat="1" applyFont="1" applyFill="1" applyBorder="1" applyAlignment="1">
      <x:alignment horizontal="center" vertical="center" wrapText="1"/>
    </x:xf>
    <x:xf numFmtId="0" fontId="9" fillId="33" borderId="5" xfId="0" applyNumberFormat="1" applyFont="1" applyFill="1" applyBorder="1" applyAlignment="1">
      <x:alignment horizontal="center" vertical="center" wrapText="1"/>
    </x:xf>
    <x:xf numFmtId="49" fontId="26" fillId="33" borderId="10" xfId="0" applyNumberFormat="1" applyFont="1" applyFill="1" applyBorder="1" applyAlignment="1">
      <x:alignment horizontal="center" vertical="center" wrapText="1"/>
    </x:xf>
    <x:xf numFmtId="0" fontId="26" fillId="33" borderId="10" xfId="0" applyNumberFormat="1" applyFont="1" applyFill="1" applyBorder="1" applyAlignment="1">
      <x:alignment vertical="center" wrapText="1"/>
    </x:xf>
    <x:xf numFmtId="0" fontId="26" fillId="33" borderId="10" xfId="0" applyNumberFormat="1" applyFont="1" applyFill="1" applyBorder="1" applyAlignment="1">
      <x:alignment horizontal="center" vertical="center" wrapText="1"/>
    </x:xf>
    <x:xf numFmtId="200" fontId="26" fillId="33" borderId="10" xfId="0" applyNumberFormat="1" applyFont="1" applyFill="1" applyBorder="1" applyAlignment="1">
      <x:alignment horizontal="center" vertical="center" wrapText="1"/>
    </x:xf>
    <x:xf numFmtId="1" fontId="26" fillId="33" borderId="10" xfId="0" applyNumberFormat="1" applyFont="1" applyFill="1" applyBorder="1" applyAlignment="1">
      <x:alignment horizontal="center" vertical="center" wrapText="1"/>
    </x:xf>
    <x:xf numFmtId="201" fontId="26" fillId="33" borderId="10" xfId="0" applyNumberFormat="1" applyFont="1" applyFill="1" applyBorder="1" applyAlignment="1">
      <x:alignment horizontal="center" vertical="center" wrapText="1"/>
    </x:xf>
    <x:xf numFmtId="0" fontId="26" fillId="33" borderId="10" xfId="0" applyNumberFormat="1" applyFont="1" applyFill="1" applyBorder="1" applyAlignment="1">
      <x:alignment vertical="center" wrapText="0"/>
    </x:xf>
    <x:xf numFmtId="200" fontId="26" fillId="33" borderId="10" xfId="0" applyNumberFormat="1" applyFont="1" applyFill="1" applyBorder="1" applyAlignment="1">
      <x:alignment vertical="center" wrapText="0"/>
    </x:xf>
    <x:xf numFmtId="201" fontId="26" fillId="33" borderId="10" xfId="0" applyNumberFormat="1" applyFont="1" applyFill="1" applyBorder="1" applyAlignment="1">
      <x:alignment vertical="center" wrapText="0"/>
    </x:xf>
    <x:xf numFmtId="0" fontId="24" fillId="33" borderId="10" xfId="0" applyNumberFormat="1" applyFont="1" applyFill="1" applyBorder="1" applyAlignment="1">
      <x:alignment vertical="center" wrapText="0"/>
    </x:xf>
    <x:xf numFmtId="49" fontId="39" fillId="33" borderId="10" xfId="0" applyNumberFormat="1" applyFont="1" applyFill="1" applyBorder="1" applyAlignment="1">
      <x:alignment horizontal="center" vertical="center" wrapText="1"/>
    </x:xf>
    <x:xf numFmtId="0" fontId="39" fillId="33" borderId="10" xfId="0" applyNumberFormat="1" applyFont="1" applyFill="1" applyBorder="1" applyAlignment="1">
      <x:alignment vertical="center" wrapText="1"/>
    </x:xf>
    <x:xf numFmtId="0" fontId="39" fillId="33" borderId="10" xfId="0" applyNumberFormat="1" applyFont="1" applyFill="1" applyBorder="1" applyAlignment="1">
      <x:alignment horizontal="center" vertical="center" wrapText="1"/>
    </x:xf>
    <x:xf numFmtId="200" fontId="39" fillId="33" borderId="10" xfId="0" applyNumberFormat="1" applyFont="1" applyFill="1" applyBorder="1" applyAlignment="1">
      <x:alignment horizontal="center" vertical="center" wrapText="1"/>
    </x:xf>
    <x:xf numFmtId="1" fontId="39" fillId="33" borderId="10" xfId="0" applyNumberFormat="1" applyFont="1" applyFill="1" applyBorder="1" applyAlignment="1">
      <x:alignment horizontal="center" vertical="center" wrapText="1"/>
    </x:xf>
    <x:xf numFmtId="201" fontId="39" fillId="33" borderId="10" xfId="0" applyNumberFormat="1" applyFont="1" applyFill="1" applyBorder="1" applyAlignment="1">
      <x:alignment horizontal="center" vertical="center" wrapText="1"/>
    </x:xf>
    <x:xf numFmtId="0" fontId="39" fillId="33" borderId="10" xfId="0" applyNumberFormat="1" applyFont="1" applyFill="1" applyBorder="1" applyAlignment="1">
      <x:alignment vertical="center"/>
    </x:xf>
    <x:xf numFmtId="0" fontId="39" fillId="33" borderId="10" xfId="0" applyNumberFormat="1" applyFont="1" applyFill="1" applyBorder="1" applyAlignment="1">
      <x:alignment vertical="center" wrapText="0"/>
    </x:xf>
    <x:xf numFmtId="200" fontId="39" fillId="33" borderId="10" xfId="0" applyNumberFormat="1" applyFont="1" applyFill="1" applyBorder="1" applyAlignment="1">
      <x:alignment vertical="center" wrapText="0"/>
    </x:xf>
    <x:xf numFmtId="201" fontId="39" fillId="33" borderId="10" xfId="0" applyNumberFormat="1" applyFont="1" applyFill="1" applyBorder="1" applyAlignment="1">
      <x:alignment vertical="center" wrapText="0"/>
    </x:xf>
    <x:xf numFmtId="9" fontId="39" fillId="33" borderId="10" xfId="0" applyNumberFormat="1" applyFont="1" applyFill="1" applyBorder="1" applyAlignment="1">
      <x:alignment horizontal="center" vertical="center" wrapText="1"/>
    </x:xf>
    <x:xf numFmtId="0" fontId="39" fillId="33" borderId="5" xfId="0" applyNumberFormat="1" applyFont="1" applyFill="1" applyBorder="1" applyAlignment="1">
      <x:alignment horizontal="center" vertical="center" wrapText="1"/>
    </x:xf>
    <x:xf numFmtId="0" fontId="40" fillId="33" borderId="10" xfId="0" applyNumberFormat="1" applyFont="1" applyFill="1" applyBorder="1" applyAlignment="1">
      <x:alignment vertical="center" wrapText="0"/>
    </x:xf>
    <x:xf numFmtId="0" fontId="39" fillId="34" borderId="10" xfId="0" applyNumberFormat="1" applyFont="1" applyFill="1" applyBorder="1" applyAlignment="1">
      <x:alignment horizontal="center" vertical="center" wrapText="1"/>
    </x:xf>
    <x:xf numFmtId="200" fontId="39" fillId="34" borderId="10" xfId="0" applyNumberFormat="1" applyFont="1" applyFill="1" applyBorder="1" applyAlignment="1">
      <x:alignment horizontal="center" vertical="center" wrapText="1"/>
    </x:xf>
    <x:xf numFmtId="0" fontId="39" fillId="34" borderId="10" xfId="0" applyNumberFormat="1" applyFont="1" applyFill="1" applyBorder="1" applyAlignment="1">
      <x:alignment vertical="center" wrapText="0"/>
    </x:xf>
    <x:xf numFmtId="200" fontId="39" fillId="34" borderId="10" xfId="0" applyNumberFormat="1" applyFont="1" applyFill="1" applyBorder="1" applyAlignment="1">
      <x:alignment vertical="center" wrapText="0"/>
    </x:xf>
    <x:xf numFmtId="201" fontId="39" fillId="35" borderId="10" xfId="0" applyNumberFormat="1" applyFont="1" applyFill="1" applyBorder="1" applyAlignment="1">
      <x:alignment horizontal="center" vertical="center" wrapText="1"/>
    </x:xf>
    <x:xf numFmtId="201" fontId="39" fillId="35" borderId="10" xfId="0" applyNumberFormat="1" applyFont="1" applyFill="1" applyBorder="1" applyAlignment="1">
      <x:alignment vertical="center" wrapText="0"/>
    </x:xf>
    <x:xf numFmtId="9" fontId="39" fillId="35" borderId="10" xfId="0" applyNumberFormat="1" applyFont="1" applyFill="1" applyBorder="1" applyAlignment="1">
      <x:alignment horizontal="center" vertical="center" wrapText="1"/>
    </x:xf>
    <x:xf numFmtId="0" fontId="39" fillId="35" borderId="10" xfId="0" applyNumberFormat="1" applyFont="1" applyFill="1" applyBorder="1" applyAlignment="1">
      <x:alignment horizontal="center" vertical="center" wrapText="1"/>
    </x:xf>
    <x:xf numFmtId="49" fontId="23" fillId="33" borderId="10" xfId="0" applyNumberFormat="1" applyFont="1" applyFill="1" applyBorder="1" applyAlignment="1">
      <x:alignment horizontal="center" vertical="top" wrapText="1"/>
    </x:xf>
    <x:xf numFmtId="0" fontId="23" fillId="33" borderId="10" xfId="0" applyNumberFormat="1" applyFont="1" applyFill="1" applyBorder="1" applyAlignment="1">
      <x:alignment horizontal="center" vertical="top" wrapText="1"/>
    </x:xf>
    <x:xf numFmtId="0" fontId="23" fillId="33" borderId="10" xfId="0" applyNumberFormat="1" applyFont="1" applyFill="1" applyBorder="1" applyAlignment="1">
      <x:alignment vertical="top" wrapText="1"/>
    </x:xf>
    <x:xf numFmtId="0" fontId="24" fillId="33" borderId="10" xfId="0" applyNumberFormat="1" applyFont="1" applyFill="1" applyBorder="1" applyAlignment="1">
      <x:alignment vertical="top" wrapText="1"/>
    </x:xf>
    <x:xf numFmtId="0" fontId="23" fillId="33" borderId="10" xfId="0" applyNumberFormat="1" applyFont="1" applyFill="1" applyBorder="1"/>
    <x:xf numFmtId="0" fontId="29" fillId="33" borderId="10" xfId="0" applyNumberFormat="1" applyFont="1" applyFill="1" applyBorder="1"/>
    <x:xf numFmtId="0" fontId="4" fillId="33" borderId="1" xfId="0" applyNumberFormat="1" applyFont="1" applyFill="1" applyBorder="1" applyAlignment="1">
      <x:alignment horizontal="center" vertical="center" wrapText="1"/>
    </x:xf>
    <x:xf numFmtId="0" fontId="26" fillId="33" borderId="10" xfId="0" applyNumberFormat="1" applyFont="1" applyFill="1" applyBorder="1" applyAlignment="1">
      <x:alignment vertical="top" wrapText="1"/>
    </x:xf>
    <x:xf numFmtId="0" fontId="27" fillId="33" borderId="10" xfId="0" applyNumberFormat="1" applyFont="1" applyFill="1" applyBorder="1" applyAlignment="1">
      <x:alignment vertical="top" wrapText="1"/>
    </x:xf>
    <x:xf numFmtId="0" fontId="26" fillId="33" borderId="10" xfId="0" applyNumberFormat="1" applyFont="1" applyFill="1" applyBorder="1" applyAlignment="1">
      <x:alignment horizontal="center" vertical="top" wrapText="1"/>
    </x:xf>
    <x:xf numFmtId="0" fontId="28" fillId="33" borderId="10" xfId="0" applyNumberFormat="1" applyFont="1" applyFill="1" applyBorder="1" applyAlignment="1">
      <x:alignment vertical="top" wrapText="1"/>
    </x:xf>
    <x:xf numFmtId="167" fontId="23" fillId="33" borderId="10" xfId="0" applyNumberFormat="1" applyFont="1" applyFill="1" applyBorder="1" applyAlignment="1">
      <x:alignment vertical="top" wrapText="1"/>
    </x:xf>
    <x:xf numFmtId="167" fontId="28" fillId="33" borderId="10" xfId="0" applyNumberFormat="1" applyFont="1" applyFill="1" applyBorder="1" applyAlignment="1">
      <x:alignment vertical="top" wrapText="1"/>
    </x:xf>
    <x:xf numFmtId="0" fontId="30" fillId="33" borderId="10" xfId="0" applyNumberFormat="1" applyFont="1" applyFill="1" applyBorder="1" applyAlignment="1">
      <x:alignment vertical="top" wrapText="1"/>
    </x:xf>
    <x:xf numFmtId="49" fontId="39" fillId="33" borderId="10" xfId="0" applyNumberFormat="1" applyFont="1" applyFill="1" applyBorder="1" applyAlignment="1">
      <x:alignment horizontal="center" vertical="top" wrapText="1"/>
    </x:xf>
    <x:xf numFmtId="0" fontId="39" fillId="33" borderId="10" xfId="0" applyNumberFormat="1" applyFont="1" applyFill="1" applyBorder="1" applyAlignment="1">
      <x:alignment horizontal="center" vertical="top" wrapText="1"/>
    </x:xf>
    <x:xf numFmtId="0" fontId="39" fillId="33" borderId="10" xfId="0" applyNumberFormat="1" applyFont="1" applyFill="1" applyBorder="1" applyAlignment="1">
      <x:alignment vertical="top" wrapText="1"/>
    </x:xf>
    <x:xf numFmtId="0" fontId="40" fillId="33" borderId="10" xfId="0" applyNumberFormat="1" applyFont="1" applyFill="1" applyBorder="1" applyAlignment="1">
      <x:alignment vertical="top" wrapText="1"/>
    </x:xf>
    <x:xf numFmtId="0" fontId="39" fillId="33" borderId="10" xfId="0" applyNumberFormat="1" applyFont="1" applyFill="1" applyBorder="1"/>
    <x:xf numFmtId="0" fontId="39" fillId="33" borderId="1" xfId="0" applyNumberFormat="1" applyFont="1" applyFill="1" applyBorder="1" applyAlignment="1">
      <x:alignment horizontal="center" vertical="center" wrapText="1"/>
    </x:xf>
    <x:xf numFmtId="167" fontId="39" fillId="33" borderId="10" xfId="0" applyNumberFormat="1" applyFont="1" applyFill="1" applyBorder="1" applyAlignment="1">
      <x:alignment vertical="top" wrapText="1"/>
    </x:xf>
    <x:xf numFmtId="49" fontId="41" fillId="33" borderId="10" xfId="0" applyNumberFormat="1" applyFont="1" applyFill="1" applyBorder="1" applyAlignment="1">
      <x:alignment horizontal="center" vertical="center" wrapText="1"/>
    </x:xf>
    <x:xf numFmtId="0" fontId="41" fillId="33" borderId="10" xfId="0" applyNumberFormat="1" applyFont="1" applyFill="1" applyBorder="1" applyAlignment="1">
      <x:alignment vertical="center" wrapText="1"/>
    </x:xf>
    <x:xf numFmtId="0" fontId="41" fillId="34" borderId="10" xfId="0" applyNumberFormat="1" applyFont="1" applyFill="1" applyBorder="1" applyAlignment="1">
      <x:alignment horizontal="center" vertical="center" wrapText="1"/>
    </x:xf>
    <x:xf numFmtId="200" fontId="41" fillId="34" borderId="10" xfId="0" applyNumberFormat="1" applyFont="1" applyFill="1" applyBorder="1" applyAlignment="1">
      <x:alignment horizontal="center" vertical="center" wrapText="1"/>
    </x:xf>
    <x:xf numFmtId="1" fontId="41" fillId="33" borderId="10" xfId="0" applyNumberFormat="1" applyFont="1" applyFill="1" applyBorder="1" applyAlignment="1">
      <x:alignment horizontal="center" vertical="center" wrapText="1"/>
    </x:xf>
    <x:xf numFmtId="201" fontId="41" fillId="35" borderId="10" xfId="0" applyNumberFormat="1" applyFont="1" applyFill="1" applyBorder="1" applyAlignment="1">
      <x:alignment horizontal="center" vertical="center" wrapText="1"/>
    </x:xf>
    <x:xf numFmtId="0" fontId="41" fillId="33" borderId="10" xfId="0" applyNumberFormat="1" applyFont="1" applyFill="1" applyBorder="1" applyAlignment="1">
      <x:alignment vertical="top" wrapText="1"/>
    </x:xf>
    <x:xf numFmtId="0" fontId="42" fillId="33" borderId="10" xfId="0" applyNumberFormat="1" applyFont="1" applyFill="1" applyBorder="1" applyAlignment="1">
      <x:alignment vertical="top" wrapText="1"/>
    </x:xf>
    <x:xf numFmtId="0" fontId="41" fillId="33" borderId="10" xfId="0" applyNumberFormat="1" applyFont="1" applyFill="1" applyBorder="1" applyAlignment="1">
      <x:alignment horizontal="center" vertical="top" wrapText="1"/>
    </x:xf>
    <x:xf numFmtId="0" fontId="41" fillId="33" borderId="10" xfId="0" applyNumberFormat="1" applyFont="1" applyFill="1" applyBorder="1" applyAlignment="1">
      <x:alignment vertical="center" wrapText="0"/>
    </x:xf>
    <x:xf numFmtId="0" fontId="41" fillId="34" borderId="10" xfId="0" applyNumberFormat="1" applyFont="1" applyFill="1" applyBorder="1" applyAlignment="1">
      <x:alignment vertical="center" wrapText="0"/>
    </x:xf>
    <x:xf numFmtId="200" fontId="41" fillId="34" borderId="10" xfId="0" applyNumberFormat="1" applyFont="1" applyFill="1" applyBorder="1" applyAlignment="1">
      <x:alignment vertical="center" wrapText="0"/>
    </x:xf>
    <x:xf numFmtId="201" fontId="41" fillId="35" borderId="10" xfId="0" applyNumberFormat="1" applyFont="1" applyFill="1" applyBorder="1" applyAlignment="1">
      <x:alignment vertical="center" wrapText="0"/>
    </x:xf>
    <x:xf numFmtId="49" fontId="39" fillId="35" borderId="10" xfId="0" applyNumberFormat="1" applyFont="1" applyFill="1" applyBorder="1" applyAlignment="1">
      <x:alignment horizontal="center" vertical="center" wrapText="1"/>
    </x:xf>
    <x:xf numFmtId="0" fontId="39" fillId="35" borderId="10" xfId="0" applyNumberFormat="1" applyFont="1" applyFill="1" applyBorder="1" applyAlignment="1">
      <x:alignment vertical="center" wrapText="1"/>
    </x:xf>
    <x:xf numFmtId="200" fontId="39" fillId="35" borderId="10" xfId="0" applyNumberFormat="1" applyFont="1" applyFill="1" applyBorder="1" applyAlignment="1">
      <x:alignment horizontal="center" vertical="center" wrapText="1"/>
    </x:xf>
    <x:xf numFmtId="1" fontId="39" fillId="35" borderId="10" xfId="0" applyNumberFormat="1" applyFont="1" applyFill="1" applyBorder="1" applyAlignment="1">
      <x:alignment horizontal="center" vertical="center" wrapText="1"/>
    </x:xf>
    <x:xf numFmtId="0" fontId="39" fillId="35" borderId="10" xfId="0" applyNumberFormat="1" applyFont="1" applyFill="1" applyBorder="1" applyAlignment="1">
      <x:alignment vertical="center"/>
    </x:xf>
    <x:xf numFmtId="49" fontId="28" fillId="35" borderId="10" xfId="0" applyNumberFormat="1" applyFont="1" applyFill="1" applyBorder="1" applyAlignment="1">
      <x:alignment horizontal="center" vertical="center" wrapText="1"/>
    </x:xf>
    <x:xf numFmtId="0" fontId="28" fillId="35" borderId="10" xfId="0" applyNumberFormat="1" applyFont="1" applyFill="1" applyBorder="1" applyAlignment="1">
      <x:alignment vertical="center" wrapText="1"/>
    </x:xf>
    <x:xf numFmtId="0" fontId="28" fillId="35" borderId="10" xfId="0" applyNumberFormat="1" applyFont="1" applyFill="1" applyBorder="1" applyAlignment="1">
      <x:alignment horizontal="center" vertical="center" wrapText="1"/>
    </x:xf>
    <x:xf numFmtId="200" fontId="28" fillId="35" borderId="10" xfId="0" applyNumberFormat="1" applyFont="1" applyFill="1" applyBorder="1" applyAlignment="1">
      <x:alignment horizontal="center" vertical="center" wrapText="1"/>
    </x:xf>
    <x:xf numFmtId="1" fontId="28" fillId="35" borderId="10" xfId="0" applyNumberFormat="1" applyFont="1" applyFill="1" applyBorder="1" applyAlignment="1">
      <x:alignment horizontal="center" vertical="center" wrapText="1"/>
    </x:xf>
    <x:xf numFmtId="201" fontId="28" fillId="35" borderId="10" xfId="0" applyNumberFormat="1" applyFont="1" applyFill="1" applyBorder="1" applyAlignment="1">
      <x:alignment horizontal="center" vertical="center" wrapText="1"/>
    </x:xf>
    <x:xf numFmtId="49" fontId="39" fillId="36" borderId="10" xfId="0" applyNumberFormat="1" applyFont="1" applyFill="1" applyBorder="1" applyAlignment="1">
      <x:alignment horizontal="center" vertical="center" wrapText="1"/>
    </x:xf>
    <x:xf numFmtId="0" fontId="39" fillId="36" borderId="10" xfId="0" applyNumberFormat="1" applyFont="1" applyFill="1" applyBorder="1" applyAlignment="1">
      <x:alignment vertical="center" wrapText="1"/>
    </x:xf>
    <x:xf numFmtId="0" fontId="39" fillId="36" borderId="10" xfId="0" applyNumberFormat="1" applyFont="1" applyFill="1" applyBorder="1" applyAlignment="1">
      <x:alignment horizontal="center" vertical="center" wrapText="1"/>
    </x:xf>
    <x:xf numFmtId="200" fontId="39" fillId="36" borderId="10" xfId="0" applyNumberFormat="1" applyFont="1" applyFill="1" applyBorder="1" applyAlignment="1">
      <x:alignment horizontal="center" vertical="center" wrapText="1"/>
    </x:xf>
    <x:xf numFmtId="1" fontId="39" fillId="36" borderId="10" xfId="0" applyNumberFormat="1" applyFont="1" applyFill="1" applyBorder="1" applyAlignment="1">
      <x:alignment horizontal="center" vertical="center" wrapText="1"/>
    </x:xf>
    <x:xf numFmtId="9" fontId="39" fillId="36" borderId="10" xfId="0" applyNumberFormat="1" applyFont="1" applyFill="1" applyBorder="1" applyAlignment="1">
      <x:alignment horizontal="center" vertical="center" wrapText="1"/>
    </x:xf>
    <x:xf numFmtId="49" fontId="29" fillId="36" borderId="10" xfId="0" applyNumberFormat="1" applyFont="1" applyFill="1" applyBorder="1" applyAlignment="1">
      <x:alignment horizontal="center" vertical="center" wrapText="1"/>
    </x:xf>
    <x:xf numFmtId="0" fontId="29" fillId="36" borderId="10" xfId="0" applyNumberFormat="1" applyFont="1" applyFill="1" applyBorder="1" applyAlignment="1">
      <x:alignment vertical="center" wrapText="1"/>
    </x:xf>
    <x:xf numFmtId="0" fontId="29" fillId="36" borderId="10" xfId="0" applyNumberFormat="1" applyFont="1" applyFill="1" applyBorder="1" applyAlignment="1">
      <x:alignment horizontal="center" vertical="center" wrapText="1"/>
    </x:xf>
    <x:xf numFmtId="200" fontId="29" fillId="36" borderId="10" xfId="0" applyNumberFormat="1" applyFont="1" applyFill="1" applyBorder="1" applyAlignment="1">
      <x:alignment horizontal="center" vertical="center" wrapText="1"/>
    </x:xf>
    <x:xf numFmtId="1" fontId="29" fillId="36" borderId="10" xfId="0" applyNumberFormat="1" applyFont="1" applyFill="1" applyBorder="1" applyAlignment="1">
      <x:alignment horizontal="center" vertical="center" wrapText="1"/>
    </x:xf>
    <x:xf numFmtId="9" fontId="29" fillId="36" borderId="10" xfId="0" applyNumberFormat="1" applyFont="1" applyFill="1" applyBorder="1" applyAlignment="1">
      <x:alignment horizontal="center" vertical="center" wrapText="1"/>
    </x:xf>
    <x:xf numFmtId="0" fontId="39" fillId="37" borderId="10" xfId="0" applyNumberFormat="1" applyFont="1" applyFill="1" applyBorder="1" applyAlignment="1">
      <x:alignment vertical="center"/>
    </x:xf>
    <x:xf numFmtId="0" fontId="39" fillId="37" borderId="10" xfId="0" applyNumberFormat="1" applyFont="1" applyFill="1" applyBorder="1" applyAlignment="1">
      <x:alignment vertical="center" wrapText="0"/>
    </x:xf>
    <x:xf numFmtId="0" fontId="40" fillId="37" borderId="10" xfId="0" applyNumberFormat="1" applyFont="1" applyFill="1" applyBorder="1" applyAlignment="1">
      <x:alignment vertical="center" wrapText="0"/>
    </x:xf>
    <x:xf numFmtId="0" fontId="39" fillId="36" borderId="10" xfId="0" applyNumberFormat="1" applyFont="1" applyFill="1" applyBorder="1"/>
    <x:xf numFmtId="0" fontId="29" fillId="36" borderId="10" xfId="0" applyNumberFormat="1" applyFont="1" applyFill="1" applyBorder="1"/>
    <x:xf numFmtId="0" fontId="39" fillId="35" borderId="10" xfId="0" applyNumberFormat="1" applyFont="1" applyFill="1" applyBorder="1" applyAlignment="1">
      <x:alignment vertical="top" wrapText="1"/>
    </x:xf>
    <x:xf numFmtId="0" fontId="28" fillId="35" borderId="10" xfId="0" applyNumberFormat="1" applyFont="1" applyFill="1" applyBorder="1" applyAlignment="1">
      <x:alignment vertical="top" wrapText="1"/>
    </x:xf>
    <x:xf numFmtId="167" fontId="39" fillId="35" borderId="10" xfId="0" applyNumberFormat="1" applyFont="1" applyFill="1" applyBorder="1" applyAlignment="1">
      <x:alignment vertical="top" wrapText="1"/>
    </x:xf>
    <x:xf numFmtId="167" fontId="28" fillId="35" borderId="10" xfId="0" applyNumberFormat="1" applyFont="1" applyFill="1" applyBorder="1" applyAlignment="1">
      <x:alignment vertical="top" wrapText="1"/>
    </x:xf>
    <x:xf numFmtId="0" fontId="39" fillId="38" borderId="10" xfId="0" applyNumberFormat="1" applyFont="1" applyFill="1" applyBorder="1" applyAlignment="1">
      <x:alignment vertical="top" wrapText="1"/>
    </x:xf>
    <x:xf numFmtId="0" fontId="28" fillId="38" borderId="10" xfId="0" applyNumberFormat="1" applyFont="1" applyFill="1" applyBorder="1" applyAlignment="1">
      <x:alignment vertical="top" wrapText="1"/>
    </x:xf>
    <x:xf numFmtId="167" fontId="39" fillId="38" borderId="10" xfId="0" applyNumberFormat="1" applyFont="1" applyFill="1" applyBorder="1" applyAlignment="1">
      <x:alignment vertical="top" wrapText="1"/>
    </x:xf>
    <x:xf numFmtId="167" fontId="28" fillId="38" borderId="10" xfId="0" applyNumberFormat="1" applyFont="1" applyFill="1" applyBorder="1" applyAlignment="1">
      <x:alignment vertical="top" wrapText="1"/>
    </x:xf>
    <x:xf numFmtId="0" fontId="40" fillId="38" borderId="10" xfId="0" applyNumberFormat="1" applyFont="1" applyFill="1" applyBorder="1" applyAlignment="1">
      <x:alignment vertical="top" wrapText="1"/>
    </x:xf>
    <x:xf numFmtId="0" fontId="30" fillId="38" borderId="10" xfId="0" applyNumberFormat="1" applyFont="1" applyFill="1" applyBorder="1" applyAlignment="1">
      <x:alignment vertical="top" wrapText="1"/>
    </x:xf>
    <x:xf numFmtId="49" fontId="28" fillId="39" borderId="10" xfId="0" applyNumberFormat="1" applyFont="1" applyFill="1" applyBorder="1" applyAlignment="1">
      <x:alignment horizontal="center" vertical="center" wrapText="1"/>
    </x:xf>
    <x:xf numFmtId="0" fontId="28" fillId="39" borderId="10" xfId="0" applyNumberFormat="1" applyFont="1" applyFill="1" applyBorder="1" applyAlignment="1">
      <x:alignment vertical="center" wrapText="1"/>
    </x:xf>
    <x:xf numFmtId="0" fontId="28" fillId="39" borderId="10" xfId="0" applyNumberFormat="1" applyFont="1" applyFill="1" applyBorder="1" applyAlignment="1">
      <x:alignment horizontal="center" vertical="center" wrapText="1"/>
    </x:xf>
    <x:xf numFmtId="200" fontId="28" fillId="39" borderId="10" xfId="0" applyNumberFormat="1" applyFont="1" applyFill="1" applyBorder="1" applyAlignment="1">
      <x:alignment horizontal="center" vertical="center" wrapText="1"/>
    </x:xf>
    <x:xf numFmtId="1" fontId="28" fillId="39" borderId="10" xfId="0" applyNumberFormat="1" applyFont="1" applyFill="1" applyBorder="1" applyAlignment="1">
      <x:alignment horizontal="center" vertical="center" wrapText="1"/>
    </x:xf>
    <x:xf numFmtId="201" fontId="28" fillId="39" borderId="10" xfId="0" applyNumberFormat="1" applyFont="1" applyFill="1" applyBorder="1" applyAlignment="1">
      <x:alignment horizontal="center" vertical="center" wrapText="1"/>
    </x:xf>
    <x:xf numFmtId="0" fontId="23" fillId="39" borderId="10" xfId="0" applyNumberFormat="1" applyFont="1" applyFill="1" applyBorder="1" applyAlignment="1">
      <x:alignment vertical="center"/>
    </x:xf>
    <x:xf numFmtId="49" fontId="23" fillId="39" borderId="10" xfId="0" applyNumberFormat="1" applyFont="1" applyFill="1" applyBorder="1" applyAlignment="1">
      <x:alignment horizontal="center" vertical="center" wrapText="1"/>
    </x:xf>
    <x:xf numFmtId="0" fontId="23" fillId="39" borderId="10" xfId="0" applyNumberFormat="1" applyFont="1" applyFill="1" applyBorder="1" applyAlignment="1">
      <x:alignment vertical="center" wrapText="1"/>
    </x:xf>
    <x:xf numFmtId="0" fontId="23" fillId="39" borderId="10" xfId="0" applyNumberFormat="1" applyFont="1" applyFill="1" applyBorder="1" applyAlignment="1">
      <x:alignment horizontal="center" vertical="center" wrapText="1"/>
    </x:xf>
    <x:xf numFmtId="200" fontId="23" fillId="39" borderId="10" xfId="0" applyNumberFormat="1" applyFont="1" applyFill="1" applyBorder="1" applyAlignment="1">
      <x:alignment horizontal="center" vertical="center" wrapText="1"/>
    </x:xf>
    <x:xf numFmtId="1" fontId="23" fillId="39" borderId="10" xfId="0" applyNumberFormat="1" applyFont="1" applyFill="1" applyBorder="1" applyAlignment="1">
      <x:alignment horizontal="center" vertical="center" wrapText="1"/>
    </x:xf>
    <x:xf numFmtId="201" fontId="23" fillId="39" borderId="10" xfId="0" applyNumberFormat="1" applyFont="1" applyFill="1" applyBorder="1" applyAlignment="1">
      <x:alignment horizontal="center" vertical="center" wrapText="1"/>
    </x:xf>
    <x:xf numFmtId="0" fontId="23" fillId="39" borderId="10" xfId="0" applyNumberFormat="1" applyFont="1" applyFill="1" applyBorder="1" applyAlignment="1">
      <x:alignment vertical="center" wrapText="0"/>
    </x:xf>
    <x:xf numFmtId="200" fontId="23" fillId="39" borderId="10" xfId="0" applyNumberFormat="1" applyFont="1" applyFill="1" applyBorder="1" applyAlignment="1">
      <x:alignment vertical="center" wrapText="0"/>
    </x:xf>
    <x:xf numFmtId="201" fontId="23" fillId="39" borderId="10" xfId="0" applyNumberFormat="1" applyFont="1" applyFill="1" applyBorder="1" applyAlignment="1">
      <x:alignment vertical="center" wrapText="0"/>
    </x:xf>
    <x:xf numFmtId="9" fontId="23" fillId="39" borderId="10" xfId="0" applyNumberFormat="1" applyFont="1" applyFill="1" applyBorder="1" applyAlignment="1">
      <x:alignment horizontal="center" vertical="center" wrapText="1"/>
    </x:xf>
    <x:xf numFmtId="49" fontId="29" fillId="39" borderId="10" xfId="0" applyNumberFormat="1" applyFont="1" applyFill="1" applyBorder="1" applyAlignment="1">
      <x:alignment horizontal="center" vertical="center" wrapText="1"/>
    </x:xf>
    <x:xf numFmtId="0" fontId="29" fillId="39" borderId="10" xfId="0" applyNumberFormat="1" applyFont="1" applyFill="1" applyBorder="1" applyAlignment="1">
      <x:alignment vertical="center" wrapText="1"/>
    </x:xf>
    <x:xf numFmtId="0" fontId="29" fillId="39" borderId="10" xfId="0" applyNumberFormat="1" applyFont="1" applyFill="1" applyBorder="1" applyAlignment="1">
      <x:alignment horizontal="center" vertical="center" wrapText="1"/>
    </x:xf>
    <x:xf numFmtId="200" fontId="29" fillId="39" borderId="10" xfId="0" applyNumberFormat="1" applyFont="1" applyFill="1" applyBorder="1" applyAlignment="1">
      <x:alignment horizontal="center" vertical="center" wrapText="1"/>
    </x:xf>
    <x:xf numFmtId="1" fontId="29" fillId="39" borderId="10" xfId="0" applyNumberFormat="1" applyFont="1" applyFill="1" applyBorder="1" applyAlignment="1">
      <x:alignment horizontal="center" vertical="center" wrapText="1"/>
    </x:xf>
    <x:xf numFmtId="9" fontId="29" fillId="39" borderId="10" xfId="0" applyNumberFormat="1" applyFont="1" applyFill="1" applyBorder="1" applyAlignment="1">
      <x:alignment horizontal="center" vertical="center" wrapText="1"/>
    </x:xf>
    <x:xf numFmtId="0" fontId="9" fillId="39" borderId="5" xfId="0" applyNumberFormat="1" applyFont="1" applyFill="1" applyBorder="1" applyAlignment="1">
      <x:alignment horizontal="center" vertical="center" wrapText="1"/>
    </x:xf>
    <x:xf numFmtId="49" fontId="26" fillId="39" borderId="10" xfId="0" applyNumberFormat="1" applyFont="1" applyFill="1" applyBorder="1" applyAlignment="1">
      <x:alignment horizontal="center" vertical="center" wrapText="1"/>
    </x:xf>
    <x:xf numFmtId="0" fontId="26" fillId="39" borderId="10" xfId="0" applyNumberFormat="1" applyFont="1" applyFill="1" applyBorder="1" applyAlignment="1">
      <x:alignment vertical="center" wrapText="1"/>
    </x:xf>
    <x:xf numFmtId="0" fontId="26" fillId="39" borderId="10" xfId="0" applyNumberFormat="1" applyFont="1" applyFill="1" applyBorder="1" applyAlignment="1">
      <x:alignment horizontal="center" vertical="center" wrapText="1"/>
    </x:xf>
    <x:xf numFmtId="200" fontId="26" fillId="39" borderId="10" xfId="0" applyNumberFormat="1" applyFont="1" applyFill="1" applyBorder="1" applyAlignment="1">
      <x:alignment horizontal="center" vertical="center" wrapText="1"/>
    </x:xf>
    <x:xf numFmtId="1" fontId="26" fillId="39" borderId="10" xfId="0" applyNumberFormat="1" applyFont="1" applyFill="1" applyBorder="1" applyAlignment="1">
      <x:alignment horizontal="center" vertical="center" wrapText="1"/>
    </x:xf>
    <x:xf numFmtId="201" fontId="26" fillId="39" borderId="10" xfId="0" applyNumberFormat="1" applyFont="1" applyFill="1" applyBorder="1" applyAlignment="1">
      <x:alignment horizontal="center" vertical="center" wrapText="1"/>
    </x:xf>
    <x:xf numFmtId="0" fontId="26" fillId="39" borderId="10" xfId="0" applyNumberFormat="1" applyFont="1" applyFill="1" applyBorder="1" applyAlignment="1">
      <x:alignment vertical="center" wrapText="0"/>
    </x:xf>
    <x:xf numFmtId="200" fontId="26" fillId="39" borderId="10" xfId="0" applyNumberFormat="1" applyFont="1" applyFill="1" applyBorder="1" applyAlignment="1">
      <x:alignment vertical="center" wrapText="0"/>
    </x:xf>
    <x:xf numFmtId="201" fontId="26" fillId="39" borderId="10" xfId="0" applyNumberFormat="1" applyFont="1" applyFill="1" applyBorder="1" applyAlignment="1">
      <x:alignment vertical="center" wrapText="0"/>
    </x:xf>
    <x:xf numFmtId="0" fontId="24" fillId="39" borderId="10" xfId="0" applyNumberFormat="1" applyFont="1" applyFill="1" applyBorder="1" applyAlignment="1">
      <x:alignment vertical="center" wrapText="0"/>
    </x:xf>
    <x:xf numFmtId="49" fontId="43" fillId="39" borderId="10" xfId="0" applyNumberFormat="1" applyFont="1" applyFill="1" applyBorder="1" applyAlignment="1">
      <x:alignment horizontal="center" vertical="center" wrapText="1"/>
    </x:xf>
    <x:xf numFmtId="0" fontId="43" fillId="39" borderId="10" xfId="0" applyNumberFormat="1" applyFont="1" applyFill="1" applyBorder="1" applyAlignment="1">
      <x:alignment vertical="center" wrapText="1"/>
    </x:xf>
    <x:xf numFmtId="0" fontId="43" fillId="39" borderId="10" xfId="0" applyNumberFormat="1" applyFont="1" applyFill="1" applyBorder="1" applyAlignment="1">
      <x:alignment horizontal="center" vertical="center" wrapText="1"/>
    </x:xf>
    <x:xf numFmtId="200" fontId="43" fillId="39" borderId="10" xfId="0" applyNumberFormat="1" applyFont="1" applyFill="1" applyBorder="1" applyAlignment="1">
      <x:alignment horizontal="center" vertical="center" wrapText="1"/>
    </x:xf>
    <x:xf numFmtId="1" fontId="43" fillId="39" borderId="10" xfId="0" applyNumberFormat="1" applyFont="1" applyFill="1" applyBorder="1" applyAlignment="1">
      <x:alignment horizontal="center" vertical="center" wrapText="1"/>
    </x:xf>
    <x:xf numFmtId="201" fontId="43" fillId="39" borderId="10" xfId="0" applyNumberFormat="1" applyFont="1" applyFill="1" applyBorder="1" applyAlignment="1">
      <x:alignment horizontal="center" vertical="center" wrapText="1"/>
    </x:xf>
    <x:xf numFmtId="0" fontId="43" fillId="39" borderId="10" xfId="0" applyNumberFormat="1" applyFont="1" applyFill="1" applyBorder="1" applyAlignment="1">
      <x:alignment vertical="center"/>
    </x:xf>
    <x:xf numFmtId="0" fontId="43" fillId="39" borderId="10" xfId="0" applyNumberFormat="1" applyFont="1" applyFill="1" applyBorder="1" applyAlignment="1">
      <x:alignment vertical="center" wrapText="0"/>
    </x:xf>
    <x:xf numFmtId="200" fontId="43" fillId="39" borderId="10" xfId="0" applyNumberFormat="1" applyFont="1" applyFill="1" applyBorder="1" applyAlignment="1">
      <x:alignment vertical="center" wrapText="0"/>
    </x:xf>
    <x:xf numFmtId="201" fontId="43" fillId="39" borderId="10" xfId="0" applyNumberFormat="1" applyFont="1" applyFill="1" applyBorder="1" applyAlignment="1">
      <x:alignment vertical="center" wrapText="0"/>
    </x:xf>
    <x:xf numFmtId="9" fontId="43" fillId="39" borderId="10" xfId="0" applyNumberFormat="1" applyFont="1" applyFill="1" applyBorder="1" applyAlignment="1">
      <x:alignment horizontal="center" vertical="center" wrapText="1"/>
    </x:xf>
    <x:xf numFmtId="0" fontId="43" fillId="39" borderId="5" xfId="0" applyNumberFormat="1" applyFont="1" applyFill="1" applyBorder="1" applyAlignment="1">
      <x:alignment horizontal="center" vertical="center" wrapText="1"/>
    </x:xf>
    <x:xf numFmtId="0" fontId="44" fillId="39" borderId="10" xfId="0" applyNumberFormat="1" applyFont="1" applyFill="1" applyBorder="1" applyAlignment="1">
      <x:alignment vertical="center" wrapText="0"/>
    </x:xf>
    <x:xf numFmtId="0" fontId="43" fillId="40" borderId="10" xfId="0" applyNumberFormat="1" applyFont="1" applyFill="1" applyBorder="1" applyAlignment="1">
      <x:alignment horizontal="center" vertical="center" wrapText="1"/>
    </x:xf>
    <x:xf numFmtId="200" fontId="43" fillId="40" borderId="10" xfId="0" applyNumberFormat="1" applyFont="1" applyFill="1" applyBorder="1" applyAlignment="1">
      <x:alignment horizontal="center" vertical="center" wrapText="1"/>
    </x:xf>
    <x:xf numFmtId="0" fontId="43" fillId="40" borderId="10" xfId="0" applyNumberFormat="1" applyFont="1" applyFill="1" applyBorder="1" applyAlignment="1">
      <x:alignment vertical="center" wrapText="0"/>
    </x:xf>
    <x:xf numFmtId="200" fontId="43" fillId="40" borderId="10" xfId="0" applyNumberFormat="1" applyFont="1" applyFill="1" applyBorder="1" applyAlignment="1">
      <x:alignment vertical="center" wrapText="0"/>
    </x:xf>
    <x:xf numFmtId="201" fontId="43" fillId="41" borderId="10" xfId="0" applyNumberFormat="1" applyFont="1" applyFill="1" applyBorder="1" applyAlignment="1">
      <x:alignment horizontal="center" vertical="center" wrapText="1"/>
    </x:xf>
    <x:xf numFmtId="201" fontId="43" fillId="41" borderId="10" xfId="0" applyNumberFormat="1" applyFont="1" applyFill="1" applyBorder="1" applyAlignment="1">
      <x:alignment vertical="center" wrapText="0"/>
    </x:xf>
    <x:xf numFmtId="9" fontId="43" fillId="41" borderId="10" xfId="0" applyNumberFormat="1" applyFont="1" applyFill="1" applyBorder="1" applyAlignment="1">
      <x:alignment horizontal="center" vertical="center" wrapText="1"/>
    </x:xf>
    <x:xf numFmtId="0" fontId="43" fillId="41" borderId="10" xfId="0" applyNumberFormat="1" applyFont="1" applyFill="1" applyBorder="1" applyAlignment="1">
      <x:alignment horizontal="center" vertical="center" wrapText="1"/>
    </x:xf>
    <x:xf numFmtId="49" fontId="23" fillId="39" borderId="10" xfId="0" applyNumberFormat="1" applyFont="1" applyFill="1" applyBorder="1" applyAlignment="1">
      <x:alignment horizontal="center" vertical="top" wrapText="1"/>
    </x:xf>
    <x:xf numFmtId="0" fontId="23" fillId="39" borderId="10" xfId="0" applyNumberFormat="1" applyFont="1" applyFill="1" applyBorder="1" applyAlignment="1">
      <x:alignment horizontal="center" vertical="top" wrapText="1"/>
    </x:xf>
    <x:xf numFmtId="0" fontId="23" fillId="39" borderId="10" xfId="0" applyNumberFormat="1" applyFont="1" applyFill="1" applyBorder="1" applyAlignment="1">
      <x:alignment vertical="top" wrapText="1"/>
    </x:xf>
    <x:xf numFmtId="0" fontId="24" fillId="39" borderId="10" xfId="0" applyNumberFormat="1" applyFont="1" applyFill="1" applyBorder="1" applyAlignment="1">
      <x:alignment vertical="top" wrapText="1"/>
    </x:xf>
    <x:xf numFmtId="0" fontId="23" fillId="39" borderId="10" xfId="0" applyNumberFormat="1" applyFont="1" applyFill="1" applyBorder="1"/>
    <x:xf numFmtId="0" fontId="29" fillId="39" borderId="10" xfId="0" applyNumberFormat="1" applyFont="1" applyFill="1" applyBorder="1"/>
    <x:xf numFmtId="0" fontId="4" fillId="39" borderId="1" xfId="0" applyNumberFormat="1" applyFont="1" applyFill="1" applyBorder="1" applyAlignment="1">
      <x:alignment horizontal="center" vertical="center" wrapText="1"/>
    </x:xf>
    <x:xf numFmtId="0" fontId="26" fillId="39" borderId="10" xfId="0" applyNumberFormat="1" applyFont="1" applyFill="1" applyBorder="1" applyAlignment="1">
      <x:alignment vertical="top" wrapText="1"/>
    </x:xf>
    <x:xf numFmtId="0" fontId="27" fillId="39" borderId="10" xfId="0" applyNumberFormat="1" applyFont="1" applyFill="1" applyBorder="1" applyAlignment="1">
      <x:alignment vertical="top" wrapText="1"/>
    </x:xf>
    <x:xf numFmtId="0" fontId="26" fillId="39" borderId="10" xfId="0" applyNumberFormat="1" applyFont="1" applyFill="1" applyBorder="1" applyAlignment="1">
      <x:alignment horizontal="center" vertical="top" wrapText="1"/>
    </x:xf>
    <x:xf numFmtId="0" fontId="28" fillId="39" borderId="10" xfId="0" applyNumberFormat="1" applyFont="1" applyFill="1" applyBorder="1" applyAlignment="1">
      <x:alignment vertical="top" wrapText="1"/>
    </x:xf>
    <x:xf numFmtId="167" fontId="23" fillId="39" borderId="10" xfId="0" applyNumberFormat="1" applyFont="1" applyFill="1" applyBorder="1" applyAlignment="1">
      <x:alignment vertical="top" wrapText="1"/>
    </x:xf>
    <x:xf numFmtId="167" fontId="28" fillId="39" borderId="10" xfId="0" applyNumberFormat="1" applyFont="1" applyFill="1" applyBorder="1" applyAlignment="1">
      <x:alignment vertical="top" wrapText="1"/>
    </x:xf>
    <x:xf numFmtId="0" fontId="30" fillId="39" borderId="10" xfId="0" applyNumberFormat="1" applyFont="1" applyFill="1" applyBorder="1" applyAlignment="1">
      <x:alignment vertical="top" wrapText="1"/>
    </x:xf>
    <x:xf numFmtId="49" fontId="43" fillId="39" borderId="10" xfId="0" applyNumberFormat="1" applyFont="1" applyFill="1" applyBorder="1" applyAlignment="1">
      <x:alignment horizontal="center" vertical="top" wrapText="1"/>
    </x:xf>
    <x:xf numFmtId="0" fontId="43" fillId="39" borderId="10" xfId="0" applyNumberFormat="1" applyFont="1" applyFill="1" applyBorder="1" applyAlignment="1">
      <x:alignment horizontal="center" vertical="top" wrapText="1"/>
    </x:xf>
    <x:xf numFmtId="0" fontId="43" fillId="39" borderId="10" xfId="0" applyNumberFormat="1" applyFont="1" applyFill="1" applyBorder="1" applyAlignment="1">
      <x:alignment vertical="top" wrapText="1"/>
    </x:xf>
    <x:xf numFmtId="0" fontId="44" fillId="39" borderId="10" xfId="0" applyNumberFormat="1" applyFont="1" applyFill="1" applyBorder="1" applyAlignment="1">
      <x:alignment vertical="top" wrapText="1"/>
    </x:xf>
    <x:xf numFmtId="0" fontId="43" fillId="39" borderId="10" xfId="0" applyNumberFormat="1" applyFont="1" applyFill="1" applyBorder="1"/>
    <x:xf numFmtId="0" fontId="43" fillId="39" borderId="1" xfId="0" applyNumberFormat="1" applyFont="1" applyFill="1" applyBorder="1" applyAlignment="1">
      <x:alignment horizontal="center" vertical="center" wrapText="1"/>
    </x:xf>
    <x:xf numFmtId="167" fontId="43" fillId="39" borderId="10" xfId="0" applyNumberFormat="1" applyFont="1" applyFill="1" applyBorder="1" applyAlignment="1">
      <x:alignment vertical="top" wrapText="1"/>
    </x:xf>
    <x:xf numFmtId="49" fontId="45" fillId="39" borderId="10" xfId="0" applyNumberFormat="1" applyFont="1" applyFill="1" applyBorder="1" applyAlignment="1">
      <x:alignment horizontal="center" vertical="center" wrapText="1"/>
    </x:xf>
    <x:xf numFmtId="0" fontId="45" fillId="39" borderId="10" xfId="0" applyNumberFormat="1" applyFont="1" applyFill="1" applyBorder="1" applyAlignment="1">
      <x:alignment vertical="center" wrapText="1"/>
    </x:xf>
    <x:xf numFmtId="0" fontId="45" fillId="40" borderId="10" xfId="0" applyNumberFormat="1" applyFont="1" applyFill="1" applyBorder="1" applyAlignment="1">
      <x:alignment horizontal="center" vertical="center" wrapText="1"/>
    </x:xf>
    <x:xf numFmtId="200" fontId="45" fillId="40" borderId="10" xfId="0" applyNumberFormat="1" applyFont="1" applyFill="1" applyBorder="1" applyAlignment="1">
      <x:alignment horizontal="center" vertical="center" wrapText="1"/>
    </x:xf>
    <x:xf numFmtId="1" fontId="45" fillId="39" borderId="10" xfId="0" applyNumberFormat="1" applyFont="1" applyFill="1" applyBorder="1" applyAlignment="1">
      <x:alignment horizontal="center" vertical="center" wrapText="1"/>
    </x:xf>
    <x:xf numFmtId="201" fontId="45" fillId="41" borderId="10" xfId="0" applyNumberFormat="1" applyFont="1" applyFill="1" applyBorder="1" applyAlignment="1">
      <x:alignment horizontal="center" vertical="center" wrapText="1"/>
    </x:xf>
    <x:xf numFmtId="0" fontId="45" fillId="39" borderId="10" xfId="0" applyNumberFormat="1" applyFont="1" applyFill="1" applyBorder="1" applyAlignment="1">
      <x:alignment vertical="top" wrapText="1"/>
    </x:xf>
    <x:xf numFmtId="0" fontId="46" fillId="39" borderId="10" xfId="0" applyNumberFormat="1" applyFont="1" applyFill="1" applyBorder="1" applyAlignment="1">
      <x:alignment vertical="top" wrapText="1"/>
    </x:xf>
    <x:xf numFmtId="0" fontId="45" fillId="39" borderId="10" xfId="0" applyNumberFormat="1" applyFont="1" applyFill="1" applyBorder="1" applyAlignment="1">
      <x:alignment horizontal="center" vertical="top" wrapText="1"/>
    </x:xf>
    <x:xf numFmtId="0" fontId="45" fillId="39" borderId="10" xfId="0" applyNumberFormat="1" applyFont="1" applyFill="1" applyBorder="1" applyAlignment="1">
      <x:alignment vertical="center" wrapText="0"/>
    </x:xf>
    <x:xf numFmtId="0" fontId="45" fillId="40" borderId="10" xfId="0" applyNumberFormat="1" applyFont="1" applyFill="1" applyBorder="1" applyAlignment="1">
      <x:alignment vertical="center" wrapText="0"/>
    </x:xf>
    <x:xf numFmtId="200" fontId="45" fillId="40" borderId="10" xfId="0" applyNumberFormat="1" applyFont="1" applyFill="1" applyBorder="1" applyAlignment="1">
      <x:alignment vertical="center" wrapText="0"/>
    </x:xf>
    <x:xf numFmtId="201" fontId="45" fillId="41" borderId="10" xfId="0" applyNumberFormat="1" applyFont="1" applyFill="1" applyBorder="1" applyAlignment="1">
      <x:alignment vertical="center" wrapText="0"/>
    </x:xf>
    <x:xf numFmtId="49" fontId="43" fillId="41" borderId="10" xfId="0" applyNumberFormat="1" applyFont="1" applyFill="1" applyBorder="1" applyAlignment="1">
      <x:alignment horizontal="center" vertical="center" wrapText="1"/>
    </x:xf>
    <x:xf numFmtId="0" fontId="43" fillId="41" borderId="10" xfId="0" applyNumberFormat="1" applyFont="1" applyFill="1" applyBorder="1" applyAlignment="1">
      <x:alignment vertical="center" wrapText="1"/>
    </x:xf>
    <x:xf numFmtId="200" fontId="43" fillId="41" borderId="10" xfId="0" applyNumberFormat="1" applyFont="1" applyFill="1" applyBorder="1" applyAlignment="1">
      <x:alignment horizontal="center" vertical="center" wrapText="1"/>
    </x:xf>
    <x:xf numFmtId="1" fontId="43" fillId="41" borderId="10" xfId="0" applyNumberFormat="1" applyFont="1" applyFill="1" applyBorder="1" applyAlignment="1">
      <x:alignment horizontal="center" vertical="center" wrapText="1"/>
    </x:xf>
    <x:xf numFmtId="0" fontId="43" fillId="41" borderId="10" xfId="0" applyNumberFormat="1" applyFont="1" applyFill="1" applyBorder="1" applyAlignment="1">
      <x:alignment vertical="center"/>
    </x:xf>
    <x:xf numFmtId="49" fontId="28" fillId="41" borderId="10" xfId="0" applyNumberFormat="1" applyFont="1" applyFill="1" applyBorder="1" applyAlignment="1">
      <x:alignment horizontal="center" vertical="center" wrapText="1"/>
    </x:xf>
    <x:xf numFmtId="0" fontId="28" fillId="41" borderId="10" xfId="0" applyNumberFormat="1" applyFont="1" applyFill="1" applyBorder="1" applyAlignment="1">
      <x:alignment vertical="center" wrapText="1"/>
    </x:xf>
    <x:xf numFmtId="0" fontId="28" fillId="41" borderId="10" xfId="0" applyNumberFormat="1" applyFont="1" applyFill="1" applyBorder="1" applyAlignment="1">
      <x:alignment horizontal="center" vertical="center" wrapText="1"/>
    </x:xf>
    <x:xf numFmtId="200" fontId="28" fillId="41" borderId="10" xfId="0" applyNumberFormat="1" applyFont="1" applyFill="1" applyBorder="1" applyAlignment="1">
      <x:alignment horizontal="center" vertical="center" wrapText="1"/>
    </x:xf>
    <x:xf numFmtId="1" fontId="28" fillId="41" borderId="10" xfId="0" applyNumberFormat="1" applyFont="1" applyFill="1" applyBorder="1" applyAlignment="1">
      <x:alignment horizontal="center" vertical="center" wrapText="1"/>
    </x:xf>
    <x:xf numFmtId="201" fontId="28" fillId="41" borderId="10" xfId="0" applyNumberFormat="1" applyFont="1" applyFill="1" applyBorder="1" applyAlignment="1">
      <x:alignment horizontal="center" vertical="center" wrapText="1"/>
    </x:xf>
    <x:xf numFmtId="49" fontId="43" fillId="42" borderId="10" xfId="0" applyNumberFormat="1" applyFont="1" applyFill="1" applyBorder="1" applyAlignment="1">
      <x:alignment horizontal="center" vertical="center" wrapText="1"/>
    </x:xf>
    <x:xf numFmtId="0" fontId="43" fillId="42" borderId="10" xfId="0" applyNumberFormat="1" applyFont="1" applyFill="1" applyBorder="1" applyAlignment="1">
      <x:alignment vertical="center" wrapText="1"/>
    </x:xf>
    <x:xf numFmtId="0" fontId="43" fillId="42" borderId="10" xfId="0" applyNumberFormat="1" applyFont="1" applyFill="1" applyBorder="1" applyAlignment="1">
      <x:alignment horizontal="center" vertical="center" wrapText="1"/>
    </x:xf>
    <x:xf numFmtId="200" fontId="43" fillId="42" borderId="10" xfId="0" applyNumberFormat="1" applyFont="1" applyFill="1" applyBorder="1" applyAlignment="1">
      <x:alignment horizontal="center" vertical="center" wrapText="1"/>
    </x:xf>
    <x:xf numFmtId="1" fontId="43" fillId="42" borderId="10" xfId="0" applyNumberFormat="1" applyFont="1" applyFill="1" applyBorder="1" applyAlignment="1">
      <x:alignment horizontal="center" vertical="center" wrapText="1"/>
    </x:xf>
    <x:xf numFmtId="9" fontId="43" fillId="42" borderId="10" xfId="0" applyNumberFormat="1" applyFont="1" applyFill="1" applyBorder="1" applyAlignment="1">
      <x:alignment horizontal="center" vertical="center" wrapText="1"/>
    </x:xf>
    <x:xf numFmtId="49" fontId="29" fillId="42" borderId="10" xfId="0" applyNumberFormat="1" applyFont="1" applyFill="1" applyBorder="1" applyAlignment="1">
      <x:alignment horizontal="center" vertical="center" wrapText="1"/>
    </x:xf>
    <x:xf numFmtId="0" fontId="29" fillId="42" borderId="10" xfId="0" applyNumberFormat="1" applyFont="1" applyFill="1" applyBorder="1" applyAlignment="1">
      <x:alignment vertical="center" wrapText="1"/>
    </x:xf>
    <x:xf numFmtId="0" fontId="29" fillId="42" borderId="10" xfId="0" applyNumberFormat="1" applyFont="1" applyFill="1" applyBorder="1" applyAlignment="1">
      <x:alignment horizontal="center" vertical="center" wrapText="1"/>
    </x:xf>
    <x:xf numFmtId="200" fontId="29" fillId="42" borderId="10" xfId="0" applyNumberFormat="1" applyFont="1" applyFill="1" applyBorder="1" applyAlignment="1">
      <x:alignment horizontal="center" vertical="center" wrapText="1"/>
    </x:xf>
    <x:xf numFmtId="1" fontId="29" fillId="42" borderId="10" xfId="0" applyNumberFormat="1" applyFont="1" applyFill="1" applyBorder="1" applyAlignment="1">
      <x:alignment horizontal="center" vertical="center" wrapText="1"/>
    </x:xf>
    <x:xf numFmtId="9" fontId="29" fillId="42" borderId="10" xfId="0" applyNumberFormat="1" applyFont="1" applyFill="1" applyBorder="1" applyAlignment="1">
      <x:alignment horizontal="center" vertical="center" wrapText="1"/>
    </x:xf>
    <x:xf numFmtId="0" fontId="43" fillId="43" borderId="10" xfId="0" applyNumberFormat="1" applyFont="1" applyFill="1" applyBorder="1" applyAlignment="1">
      <x:alignment vertical="center"/>
    </x:xf>
    <x:xf numFmtId="0" fontId="43" fillId="43" borderId="10" xfId="0" applyNumberFormat="1" applyFont="1" applyFill="1" applyBorder="1" applyAlignment="1">
      <x:alignment vertical="center" wrapText="0"/>
    </x:xf>
    <x:xf numFmtId="0" fontId="44" fillId="43" borderId="10" xfId="0" applyNumberFormat="1" applyFont="1" applyFill="1" applyBorder="1" applyAlignment="1">
      <x:alignment vertical="center" wrapText="0"/>
    </x:xf>
    <x:xf numFmtId="0" fontId="43" fillId="42" borderId="10" xfId="0" applyNumberFormat="1" applyFont="1" applyFill="1" applyBorder="1"/>
    <x:xf numFmtId="0" fontId="29" fillId="42" borderId="10" xfId="0" applyNumberFormat="1" applyFont="1" applyFill="1" applyBorder="1"/>
    <x:xf numFmtId="0" fontId="43" fillId="41" borderId="10" xfId="0" applyNumberFormat="1" applyFont="1" applyFill="1" applyBorder="1" applyAlignment="1">
      <x:alignment vertical="top" wrapText="1"/>
    </x:xf>
    <x:xf numFmtId="0" fontId="28" fillId="41" borderId="10" xfId="0" applyNumberFormat="1" applyFont="1" applyFill="1" applyBorder="1" applyAlignment="1">
      <x:alignment vertical="top" wrapText="1"/>
    </x:xf>
    <x:xf numFmtId="167" fontId="43" fillId="41" borderId="10" xfId="0" applyNumberFormat="1" applyFont="1" applyFill="1" applyBorder="1" applyAlignment="1">
      <x:alignment vertical="top" wrapText="1"/>
    </x:xf>
    <x:xf numFmtId="167" fontId="28" fillId="41" borderId="10" xfId="0" applyNumberFormat="1" applyFont="1" applyFill="1" applyBorder="1" applyAlignment="1">
      <x:alignment vertical="top" wrapText="1"/>
    </x:xf>
    <x:xf numFmtId="0" fontId="43" fillId="44" borderId="10" xfId="0" applyNumberFormat="1" applyFont="1" applyFill="1" applyBorder="1" applyAlignment="1">
      <x:alignment vertical="top" wrapText="1"/>
    </x:xf>
    <x:xf numFmtId="0" fontId="28" fillId="44" borderId="10" xfId="0" applyNumberFormat="1" applyFont="1" applyFill="1" applyBorder="1" applyAlignment="1">
      <x:alignment vertical="top" wrapText="1"/>
    </x:xf>
    <x:xf numFmtId="167" fontId="43" fillId="44" borderId="10" xfId="0" applyNumberFormat="1" applyFont="1" applyFill="1" applyBorder="1" applyAlignment="1">
      <x:alignment vertical="top" wrapText="1"/>
    </x:xf>
    <x:xf numFmtId="167" fontId="28" fillId="44" borderId="10" xfId="0" applyNumberFormat="1" applyFont="1" applyFill="1" applyBorder="1" applyAlignment="1">
      <x:alignment vertical="top" wrapText="1"/>
    </x:xf>
    <x:xf numFmtId="0" fontId="44" fillId="44" borderId="10" xfId="0" applyNumberFormat="1" applyFont="1" applyFill="1" applyBorder="1" applyAlignment="1">
      <x:alignment vertical="top" wrapText="1"/>
    </x:xf>
    <x:xf numFmtId="0" fontId="30" fillId="44" borderId="10" xfId="0" applyNumberFormat="1" applyFont="1" applyFill="1" applyBorder="1" applyAlignment="1">
      <x:alignment vertical="top" wrapText="1"/>
    </x:xf>
    <x:xf numFmtId="49" fontId="28" fillId="45" borderId="10" xfId="0" applyNumberFormat="1" applyFont="1" applyFill="1" applyBorder="1" applyAlignment="1">
      <x:alignment horizontal="center" vertical="center" wrapText="1"/>
    </x:xf>
    <x:xf numFmtId="0" fontId="28" fillId="45" borderId="10" xfId="0" applyNumberFormat="1" applyFont="1" applyFill="1" applyBorder="1" applyAlignment="1">
      <x:alignment vertical="center" wrapText="1"/>
    </x:xf>
    <x:xf numFmtId="0" fontId="28" fillId="45" borderId="10" xfId="0" applyNumberFormat="1" applyFont="1" applyFill="1" applyBorder="1" applyAlignment="1">
      <x:alignment horizontal="center" vertical="center" wrapText="1"/>
    </x:xf>
    <x:xf numFmtId="200" fontId="28" fillId="45" borderId="10" xfId="0" applyNumberFormat="1" applyFont="1" applyFill="1" applyBorder="1" applyAlignment="1">
      <x:alignment horizontal="center" vertical="center" wrapText="1"/>
    </x:xf>
    <x:xf numFmtId="1" fontId="28" fillId="45" borderId="10" xfId="0" applyNumberFormat="1" applyFont="1" applyFill="1" applyBorder="1" applyAlignment="1">
      <x:alignment horizontal="center" vertical="center" wrapText="1"/>
    </x:xf>
    <x:xf numFmtId="201" fontId="28" fillId="45" borderId="10" xfId="0" applyNumberFormat="1" applyFont="1" applyFill="1" applyBorder="1" applyAlignment="1">
      <x:alignment horizontal="center" vertical="center" wrapText="1"/>
    </x:xf>
    <x:xf numFmtId="0" fontId="23" fillId="45" borderId="10" xfId="0" applyNumberFormat="1" applyFont="1" applyFill="1" applyBorder="1" applyAlignment="1">
      <x:alignment vertical="center"/>
    </x:xf>
    <x:xf numFmtId="49" fontId="23" fillId="45" borderId="10" xfId="0" applyNumberFormat="1" applyFont="1" applyFill="1" applyBorder="1" applyAlignment="1">
      <x:alignment horizontal="center" vertical="center" wrapText="1"/>
    </x:xf>
    <x:xf numFmtId="0" fontId="23" fillId="45" borderId="10" xfId="0" applyNumberFormat="1" applyFont="1" applyFill="1" applyBorder="1" applyAlignment="1">
      <x:alignment vertical="center" wrapText="1"/>
    </x:xf>
    <x:xf numFmtId="0" fontId="23" fillId="45" borderId="10" xfId="0" applyNumberFormat="1" applyFont="1" applyFill="1" applyBorder="1" applyAlignment="1">
      <x:alignment horizontal="center" vertical="center" wrapText="1"/>
    </x:xf>
    <x:xf numFmtId="200" fontId="23" fillId="45" borderId="10" xfId="0" applyNumberFormat="1" applyFont="1" applyFill="1" applyBorder="1" applyAlignment="1">
      <x:alignment horizontal="center" vertical="center" wrapText="1"/>
    </x:xf>
    <x:xf numFmtId="1" fontId="23" fillId="45" borderId="10" xfId="0" applyNumberFormat="1" applyFont="1" applyFill="1" applyBorder="1" applyAlignment="1">
      <x:alignment horizontal="center" vertical="center" wrapText="1"/>
    </x:xf>
    <x:xf numFmtId="201" fontId="23" fillId="45" borderId="10" xfId="0" applyNumberFormat="1" applyFont="1" applyFill="1" applyBorder="1" applyAlignment="1">
      <x:alignment horizontal="center" vertical="center" wrapText="1"/>
    </x:xf>
    <x:xf numFmtId="0" fontId="23" fillId="45" borderId="10" xfId="0" applyNumberFormat="1" applyFont="1" applyFill="1" applyBorder="1" applyAlignment="1">
      <x:alignment vertical="center" wrapText="0"/>
    </x:xf>
    <x:xf numFmtId="200" fontId="23" fillId="45" borderId="10" xfId="0" applyNumberFormat="1" applyFont="1" applyFill="1" applyBorder="1" applyAlignment="1">
      <x:alignment vertical="center" wrapText="0"/>
    </x:xf>
    <x:xf numFmtId="201" fontId="23" fillId="45" borderId="10" xfId="0" applyNumberFormat="1" applyFont="1" applyFill="1" applyBorder="1" applyAlignment="1">
      <x:alignment vertical="center" wrapText="0"/>
    </x:xf>
    <x:xf numFmtId="9" fontId="23" fillId="45" borderId="10" xfId="0" applyNumberFormat="1" applyFont="1" applyFill="1" applyBorder="1" applyAlignment="1">
      <x:alignment horizontal="center" vertical="center" wrapText="1"/>
    </x:xf>
    <x:xf numFmtId="49" fontId="29" fillId="45" borderId="10" xfId="0" applyNumberFormat="1" applyFont="1" applyFill="1" applyBorder="1" applyAlignment="1">
      <x:alignment horizontal="center" vertical="center" wrapText="1"/>
    </x:xf>
    <x:xf numFmtId="0" fontId="29" fillId="45" borderId="10" xfId="0" applyNumberFormat="1" applyFont="1" applyFill="1" applyBorder="1" applyAlignment="1">
      <x:alignment vertical="center" wrapText="1"/>
    </x:xf>
    <x:xf numFmtId="0" fontId="29" fillId="45" borderId="10" xfId="0" applyNumberFormat="1" applyFont="1" applyFill="1" applyBorder="1" applyAlignment="1">
      <x:alignment horizontal="center" vertical="center" wrapText="1"/>
    </x:xf>
    <x:xf numFmtId="200" fontId="29" fillId="45" borderId="10" xfId="0" applyNumberFormat="1" applyFont="1" applyFill="1" applyBorder="1" applyAlignment="1">
      <x:alignment horizontal="center" vertical="center" wrapText="1"/>
    </x:xf>
    <x:xf numFmtId="1" fontId="29" fillId="45" borderId="10" xfId="0" applyNumberFormat="1" applyFont="1" applyFill="1" applyBorder="1" applyAlignment="1">
      <x:alignment horizontal="center" vertical="center" wrapText="1"/>
    </x:xf>
    <x:xf numFmtId="9" fontId="29" fillId="45" borderId="10" xfId="0" applyNumberFormat="1" applyFont="1" applyFill="1" applyBorder="1" applyAlignment="1">
      <x:alignment horizontal="center" vertical="center" wrapText="1"/>
    </x:xf>
    <x:xf numFmtId="0" fontId="9" fillId="45" borderId="5" xfId="0" applyNumberFormat="1" applyFont="1" applyFill="1" applyBorder="1" applyAlignment="1">
      <x:alignment horizontal="center" vertical="center" wrapText="1"/>
    </x:xf>
    <x:xf numFmtId="49" fontId="26" fillId="45" borderId="10" xfId="0" applyNumberFormat="1" applyFont="1" applyFill="1" applyBorder="1" applyAlignment="1">
      <x:alignment horizontal="center" vertical="center" wrapText="1"/>
    </x:xf>
    <x:xf numFmtId="0" fontId="26" fillId="45" borderId="10" xfId="0" applyNumberFormat="1" applyFont="1" applyFill="1" applyBorder="1" applyAlignment="1">
      <x:alignment vertical="center" wrapText="1"/>
    </x:xf>
    <x:xf numFmtId="0" fontId="26" fillId="45" borderId="10" xfId="0" applyNumberFormat="1" applyFont="1" applyFill="1" applyBorder="1" applyAlignment="1">
      <x:alignment horizontal="center" vertical="center" wrapText="1"/>
    </x:xf>
    <x:xf numFmtId="200" fontId="26" fillId="45" borderId="10" xfId="0" applyNumberFormat="1" applyFont="1" applyFill="1" applyBorder="1" applyAlignment="1">
      <x:alignment horizontal="center" vertical="center" wrapText="1"/>
    </x:xf>
    <x:xf numFmtId="1" fontId="26" fillId="45" borderId="10" xfId="0" applyNumberFormat="1" applyFont="1" applyFill="1" applyBorder="1" applyAlignment="1">
      <x:alignment horizontal="center" vertical="center" wrapText="1"/>
    </x:xf>
    <x:xf numFmtId="201" fontId="26" fillId="45" borderId="10" xfId="0" applyNumberFormat="1" applyFont="1" applyFill="1" applyBorder="1" applyAlignment="1">
      <x:alignment horizontal="center" vertical="center" wrapText="1"/>
    </x:xf>
    <x:xf numFmtId="0" fontId="26" fillId="45" borderId="10" xfId="0" applyNumberFormat="1" applyFont="1" applyFill="1" applyBorder="1" applyAlignment="1">
      <x:alignment vertical="center" wrapText="0"/>
    </x:xf>
    <x:xf numFmtId="200" fontId="26" fillId="45" borderId="10" xfId="0" applyNumberFormat="1" applyFont="1" applyFill="1" applyBorder="1" applyAlignment="1">
      <x:alignment vertical="center" wrapText="0"/>
    </x:xf>
    <x:xf numFmtId="201" fontId="26" fillId="45" borderId="10" xfId="0" applyNumberFormat="1" applyFont="1" applyFill="1" applyBorder="1" applyAlignment="1">
      <x:alignment vertical="center" wrapText="0"/>
    </x:xf>
    <x:xf numFmtId="0" fontId="24" fillId="45" borderId="10" xfId="0" applyNumberFormat="1" applyFont="1" applyFill="1" applyBorder="1" applyAlignment="1">
      <x:alignment vertical="center" wrapText="0"/>
    </x:xf>
    <x:xf numFmtId="0" fontId="14" fillId="45" borderId="0" xfId="0" applyNumberFormat="1" applyFont="1" applyFill="1" applyBorder="1" applyAlignment="1">
      <x:alignment vertical="bottom" wrapText="0"/>
    </x:xf>
    <x:xf numFmtId="0" fontId="0" fillId="45" borderId="0" xfId="0" applyNumberFormat="1" applyFont="1" applyFill="1" applyBorder="1" applyAlignment="1">
      <x:alignment vertical="bottom" wrapText="0"/>
    </x:xf>
    <x:xf numFmtId="49" fontId="47" fillId="45" borderId="10" xfId="0" applyNumberFormat="1" applyFont="1" applyFill="1" applyBorder="1" applyAlignment="1">
      <x:alignment horizontal="center" vertical="center" wrapText="1"/>
    </x:xf>
    <x:xf numFmtId="0" fontId="47" fillId="45" borderId="10" xfId="0" applyNumberFormat="1" applyFont="1" applyFill="1" applyBorder="1" applyAlignment="1">
      <x:alignment vertical="center" wrapText="1"/>
    </x:xf>
    <x:xf numFmtId="0" fontId="47" fillId="45" borderId="10" xfId="0" applyNumberFormat="1" applyFont="1" applyFill="1" applyBorder="1" applyAlignment="1">
      <x:alignment horizontal="center" vertical="center" wrapText="1"/>
    </x:xf>
    <x:xf numFmtId="200" fontId="47" fillId="45" borderId="10" xfId="0" applyNumberFormat="1" applyFont="1" applyFill="1" applyBorder="1" applyAlignment="1">
      <x:alignment horizontal="center" vertical="center" wrapText="1"/>
    </x:xf>
    <x:xf numFmtId="1" fontId="47" fillId="45" borderId="10" xfId="0" applyNumberFormat="1" applyFont="1" applyFill="1" applyBorder="1" applyAlignment="1">
      <x:alignment horizontal="center" vertical="center" wrapText="1"/>
    </x:xf>
    <x:xf numFmtId="201" fontId="47" fillId="45" borderId="10" xfId="0" applyNumberFormat="1" applyFont="1" applyFill="1" applyBorder="1" applyAlignment="1">
      <x:alignment horizontal="center" vertical="center" wrapText="1"/>
    </x:xf>
    <x:xf numFmtId="0" fontId="47" fillId="45" borderId="10" xfId="0" applyNumberFormat="1" applyFont="1" applyFill="1" applyBorder="1" applyAlignment="1">
      <x:alignment vertical="center"/>
    </x:xf>
    <x:xf numFmtId="0" fontId="47" fillId="45" borderId="10" xfId="0" applyNumberFormat="1" applyFont="1" applyFill="1" applyBorder="1" applyAlignment="1">
      <x:alignment vertical="center" wrapText="0"/>
    </x:xf>
    <x:xf numFmtId="200" fontId="47" fillId="45" borderId="10" xfId="0" applyNumberFormat="1" applyFont="1" applyFill="1" applyBorder="1" applyAlignment="1">
      <x:alignment vertical="center" wrapText="0"/>
    </x:xf>
    <x:xf numFmtId="201" fontId="47" fillId="45" borderId="10" xfId="0" applyNumberFormat="1" applyFont="1" applyFill="1" applyBorder="1" applyAlignment="1">
      <x:alignment vertical="center" wrapText="0"/>
    </x:xf>
    <x:xf numFmtId="9" fontId="47" fillId="45" borderId="10" xfId="0" applyNumberFormat="1" applyFont="1" applyFill="1" applyBorder="1" applyAlignment="1">
      <x:alignment horizontal="center" vertical="center" wrapText="1"/>
    </x:xf>
    <x:xf numFmtId="0" fontId="47" fillId="45" borderId="5" xfId="0" applyNumberFormat="1" applyFont="1" applyFill="1" applyBorder="1" applyAlignment="1">
      <x:alignment horizontal="center" vertical="center" wrapText="1"/>
    </x:xf>
    <x:xf numFmtId="0" fontId="48" fillId="45" borderId="10" xfId="0" applyNumberFormat="1" applyFont="1" applyFill="1" applyBorder="1" applyAlignment="1">
      <x:alignment vertical="center" wrapText="0"/>
    </x:xf>
    <x:xf numFmtId="0" fontId="47" fillId="45" borderId="0" xfId="0" applyNumberFormat="1" applyFont="1" applyFill="1" applyBorder="1" applyAlignment="1">
      <x:alignment vertical="bottom" wrapText="0"/>
    </x:xf>
    <x:xf numFmtId="0" fontId="48" fillId="45" borderId="0" xfId="0" applyNumberFormat="1" applyFont="1" applyFill="1" applyBorder="1" applyAlignment="1">
      <x:alignment vertical="bottom" wrapText="0"/>
    </x:xf>
    <x:xf numFmtId="0" fontId="47" fillId="45" borderId="10" xfId="0" applyNumberFormat="1" applyFont="1" applyFill="1" applyBorder="1" applyAlignment="1">
      <x:alignment vertical="bottom" wrapText="0"/>
    </x:xf>
    <x:xf numFmtId="0" fontId="48" fillId="45" borderId="10" xfId="0" applyNumberFormat="1" applyFont="1" applyFill="1" applyBorder="1" applyAlignment="1">
      <x:alignment vertical="bottom" wrapText="0"/>
    </x:xf>
    <x:xf numFmtId="0" fontId="47" fillId="46" borderId="10" xfId="0" applyNumberFormat="1" applyFont="1" applyFill="1" applyBorder="1" applyAlignment="1">
      <x:alignment horizontal="center" vertical="center" wrapText="1"/>
    </x:xf>
    <x:xf numFmtId="200" fontId="47" fillId="46" borderId="10" xfId="0" applyNumberFormat="1" applyFont="1" applyFill="1" applyBorder="1" applyAlignment="1">
      <x:alignment horizontal="center" vertical="center" wrapText="1"/>
    </x:xf>
    <x:xf numFmtId="0" fontId="47" fillId="46" borderId="10" xfId="0" applyNumberFormat="1" applyFont="1" applyFill="1" applyBorder="1" applyAlignment="1">
      <x:alignment vertical="center" wrapText="0"/>
    </x:xf>
    <x:xf numFmtId="200" fontId="47" fillId="46" borderId="10" xfId="0" applyNumberFormat="1" applyFont="1" applyFill="1" applyBorder="1" applyAlignment="1">
      <x:alignment vertical="center" wrapText="0"/>
    </x:xf>
    <x:xf numFmtId="201" fontId="47" fillId="47" borderId="10" xfId="0" applyNumberFormat="1" applyFont="1" applyFill="1" applyBorder="1" applyAlignment="1">
      <x:alignment horizontal="center" vertical="center" wrapText="1"/>
    </x:xf>
    <x:xf numFmtId="201" fontId="47" fillId="47" borderId="10" xfId="0" applyNumberFormat="1" applyFont="1" applyFill="1" applyBorder="1" applyAlignment="1">
      <x:alignment vertical="center" wrapText="0"/>
    </x:xf>
    <x:xf numFmtId="9" fontId="47" fillId="47" borderId="10" xfId="0" applyNumberFormat="1" applyFont="1" applyFill="1" applyBorder="1" applyAlignment="1">
      <x:alignment horizontal="center" vertical="center" wrapText="1"/>
    </x:xf>
    <x:xf numFmtId="0" fontId="47" fillId="47" borderId="10" xfId="0" applyNumberFormat="1" applyFont="1" applyFill="1" applyBorder="1" applyAlignment="1">
      <x:alignment horizontal="center" vertical="center" wrapText="1"/>
    </x:xf>
    <x:xf numFmtId="0" fontId="47" fillId="47" borderId="10" xfId="0" applyNumberFormat="1" applyFont="1" applyFill="1" applyBorder="1" applyAlignment="1">
      <x:alignment vertical="center" wrapText="0"/>
    </x:xf>
    <x:xf numFmtId="49" fontId="23" fillId="45" borderId="10" xfId="0" applyNumberFormat="1" applyFont="1" applyFill="1" applyBorder="1" applyAlignment="1">
      <x:alignment horizontal="center" vertical="top" wrapText="1"/>
    </x:xf>
    <x:xf numFmtId="0" fontId="23" fillId="45" borderId="10" xfId="0" applyNumberFormat="1" applyFont="1" applyFill="1" applyBorder="1" applyAlignment="1">
      <x:alignment horizontal="center" vertical="top" wrapText="1"/>
    </x:xf>
    <x:xf numFmtId="0" fontId="23" fillId="45" borderId="10" xfId="0" applyNumberFormat="1" applyFont="1" applyFill="1" applyBorder="1" applyAlignment="1">
      <x:alignment vertical="top" wrapText="1"/>
    </x:xf>
    <x:xf numFmtId="0" fontId="24" fillId="45" borderId="10" xfId="0" applyNumberFormat="1" applyFont="1" applyFill="1" applyBorder="1" applyAlignment="1">
      <x:alignment vertical="top" wrapText="1"/>
    </x:xf>
    <x:xf numFmtId="0" fontId="23" fillId="45" borderId="10" xfId="0" applyNumberFormat="1" applyFont="1" applyFill="1" applyBorder="1"/>
    <x:xf numFmtId="0" fontId="29" fillId="45" borderId="10" xfId="0" applyNumberFormat="1" applyFont="1" applyFill="1" applyBorder="1"/>
    <x:xf numFmtId="0" fontId="4" fillId="45" borderId="1" xfId="0" applyNumberFormat="1" applyFont="1" applyFill="1" applyBorder="1" applyAlignment="1">
      <x:alignment horizontal="center" vertical="center" wrapText="1"/>
    </x:xf>
    <x:xf numFmtId="0" fontId="26" fillId="45" borderId="10" xfId="0" applyNumberFormat="1" applyFont="1" applyFill="1" applyBorder="1" applyAlignment="1">
      <x:alignment vertical="top" wrapText="1"/>
    </x:xf>
    <x:xf numFmtId="0" fontId="27" fillId="45" borderId="10" xfId="0" applyNumberFormat="1" applyFont="1" applyFill="1" applyBorder="1" applyAlignment="1">
      <x:alignment vertical="top" wrapText="1"/>
    </x:xf>
    <x:xf numFmtId="0" fontId="26" fillId="45" borderId="10" xfId="0" applyNumberFormat="1" applyFont="1" applyFill="1" applyBorder="1" applyAlignment="1">
      <x:alignment horizontal="center" vertical="top" wrapText="1"/>
    </x:xf>
    <x:xf numFmtId="0" fontId="28" fillId="45" borderId="10" xfId="0" applyNumberFormat="1" applyFont="1" applyFill="1" applyBorder="1" applyAlignment="1">
      <x:alignment vertical="top" wrapText="1"/>
    </x:xf>
    <x:xf numFmtId="167" fontId="23" fillId="45" borderId="10" xfId="0" applyNumberFormat="1" applyFont="1" applyFill="1" applyBorder="1" applyAlignment="1">
      <x:alignment vertical="top" wrapText="1"/>
    </x:xf>
    <x:xf numFmtId="167" fontId="28" fillId="45" borderId="10" xfId="0" applyNumberFormat="1" applyFont="1" applyFill="1" applyBorder="1" applyAlignment="1">
      <x:alignment vertical="top" wrapText="1"/>
    </x:xf>
    <x:xf numFmtId="0" fontId="30" fillId="45" borderId="10" xfId="0" applyNumberFormat="1" applyFont="1" applyFill="1" applyBorder="1" applyAlignment="1">
      <x:alignment vertical="top" wrapText="1"/>
    </x:xf>
    <x:xf numFmtId="49" fontId="47" fillId="45" borderId="10" xfId="0" applyNumberFormat="1" applyFont="1" applyFill="1" applyBorder="1" applyAlignment="1">
      <x:alignment horizontal="center" vertical="top" wrapText="1"/>
    </x:xf>
    <x:xf numFmtId="0" fontId="47" fillId="45" borderId="10" xfId="0" applyNumberFormat="1" applyFont="1" applyFill="1" applyBorder="1" applyAlignment="1">
      <x:alignment horizontal="center" vertical="top" wrapText="1"/>
    </x:xf>
    <x:xf numFmtId="0" fontId="47" fillId="45" borderId="10" xfId="0" applyNumberFormat="1" applyFont="1" applyFill="1" applyBorder="1" applyAlignment="1">
      <x:alignment vertical="top" wrapText="1"/>
    </x:xf>
    <x:xf numFmtId="0" fontId="48" fillId="45" borderId="10" xfId="0" applyNumberFormat="1" applyFont="1" applyFill="1" applyBorder="1" applyAlignment="1">
      <x:alignment vertical="top" wrapText="1"/>
    </x:xf>
    <x:xf numFmtId="0" fontId="47" fillId="45" borderId="10" xfId="0" applyNumberFormat="1" applyFont="1" applyFill="1" applyBorder="1"/>
    <x:xf numFmtId="0" fontId="47" fillId="45" borderId="1" xfId="0" applyNumberFormat="1" applyFont="1" applyFill="1" applyBorder="1" applyAlignment="1">
      <x:alignment horizontal="center" vertical="center" wrapText="1"/>
    </x:xf>
    <x:xf numFmtId="167" fontId="47" fillId="45" borderId="10" xfId="0" applyNumberFormat="1" applyFont="1" applyFill="1" applyBorder="1" applyAlignment="1">
      <x:alignment vertical="top" wrapText="1"/>
    </x:xf>
    <x:xf numFmtId="0" fontId="47" fillId="45" borderId="10" xfId="0" applyNumberFormat="1" applyFont="1" applyFill="1" applyBorder="1" applyAlignment="1">
      <x:alignment wrapText="1"/>
    </x:xf>
    <x:xf numFmtId="49" fontId="49" fillId="45" borderId="10" xfId="0" applyNumberFormat="1" applyFont="1" applyFill="1" applyBorder="1" applyAlignment="1">
      <x:alignment horizontal="center" vertical="center" wrapText="1"/>
    </x:xf>
    <x:xf numFmtId="0" fontId="49" fillId="45" borderId="10" xfId="0" applyNumberFormat="1" applyFont="1" applyFill="1" applyBorder="1" applyAlignment="1">
      <x:alignment vertical="center" wrapText="1"/>
    </x:xf>
    <x:xf numFmtId="0" fontId="49" fillId="46" borderId="10" xfId="0" applyNumberFormat="1" applyFont="1" applyFill="1" applyBorder="1" applyAlignment="1">
      <x:alignment horizontal="center" vertical="center" wrapText="1"/>
    </x:xf>
    <x:xf numFmtId="200" fontId="49" fillId="46" borderId="10" xfId="0" applyNumberFormat="1" applyFont="1" applyFill="1" applyBorder="1" applyAlignment="1">
      <x:alignment horizontal="center" vertical="center" wrapText="1"/>
    </x:xf>
    <x:xf numFmtId="1" fontId="49" fillId="45" borderId="10" xfId="0" applyNumberFormat="1" applyFont="1" applyFill="1" applyBorder="1" applyAlignment="1">
      <x:alignment horizontal="center" vertical="center" wrapText="1"/>
    </x:xf>
    <x:xf numFmtId="201" fontId="49" fillId="47" borderId="10" xfId="0" applyNumberFormat="1" applyFont="1" applyFill="1" applyBorder="1" applyAlignment="1">
      <x:alignment horizontal="center" vertical="center" wrapText="1"/>
    </x:xf>
    <x:xf numFmtId="0" fontId="49" fillId="45" borderId="10" xfId="0" applyNumberFormat="1" applyFont="1" applyFill="1" applyBorder="1" applyAlignment="1">
      <x:alignment vertical="top" wrapText="1"/>
    </x:xf>
    <x:xf numFmtId="0" fontId="49" fillId="45" borderId="10" xfId="0" applyNumberFormat="1" applyFont="1" applyFill="1" applyBorder="1" applyAlignment="1">
      <x:alignment vertical="center" wrapText="0"/>
    </x:xf>
    <x:xf numFmtId="0" fontId="49" fillId="46" borderId="10" xfId="0" applyNumberFormat="1" applyFont="1" applyFill="1" applyBorder="1" applyAlignment="1">
      <x:alignment vertical="center" wrapText="0"/>
    </x:xf>
    <x:xf numFmtId="200" fontId="49" fillId="46" borderId="10" xfId="0" applyNumberFormat="1" applyFont="1" applyFill="1" applyBorder="1" applyAlignment="1">
      <x:alignment vertical="center" wrapText="0"/>
    </x:xf>
    <x:xf numFmtId="201" fontId="49" fillId="47" borderId="10" xfId="0" applyNumberFormat="1" applyFont="1" applyFill="1" applyBorder="1" applyAlignment="1">
      <x:alignment vertical="center" wrapText="0"/>
    </x:xf>
    <x:xf numFmtId="49" fontId="47" fillId="47" borderId="10" xfId="0" applyNumberFormat="1" applyFont="1" applyFill="1" applyBorder="1" applyAlignment="1">
      <x:alignment horizontal="center" vertical="center" wrapText="1"/>
    </x:xf>
    <x:xf numFmtId="0" fontId="47" fillId="47" borderId="10" xfId="0" applyNumberFormat="1" applyFont="1" applyFill="1" applyBorder="1" applyAlignment="1">
      <x:alignment vertical="center" wrapText="1"/>
    </x:xf>
    <x:xf numFmtId="200" fontId="47" fillId="47" borderId="10" xfId="0" applyNumberFormat="1" applyFont="1" applyFill="1" applyBorder="1" applyAlignment="1">
      <x:alignment horizontal="center" vertical="center" wrapText="1"/>
    </x:xf>
    <x:xf numFmtId="1" fontId="47" fillId="47" borderId="10" xfId="0" applyNumberFormat="1" applyFont="1" applyFill="1" applyBorder="1" applyAlignment="1">
      <x:alignment horizontal="center" vertical="center" wrapText="1"/>
    </x:xf>
    <x:xf numFmtId="0" fontId="47" fillId="47" borderId="10" xfId="0" applyNumberFormat="1" applyFont="1" applyFill="1" applyBorder="1" applyAlignment="1">
      <x:alignment vertical="center"/>
    </x:xf>
    <x:xf numFmtId="49" fontId="28" fillId="47" borderId="10" xfId="0" applyNumberFormat="1" applyFont="1" applyFill="1" applyBorder="1" applyAlignment="1">
      <x:alignment horizontal="center" vertical="center" wrapText="1"/>
    </x:xf>
    <x:xf numFmtId="0" fontId="28" fillId="47" borderId="10" xfId="0" applyNumberFormat="1" applyFont="1" applyFill="1" applyBorder="1" applyAlignment="1">
      <x:alignment vertical="center" wrapText="1"/>
    </x:xf>
    <x:xf numFmtId="0" fontId="28" fillId="47" borderId="10" xfId="0" applyNumberFormat="1" applyFont="1" applyFill="1" applyBorder="1" applyAlignment="1">
      <x:alignment horizontal="center" vertical="center" wrapText="1"/>
    </x:xf>
    <x:xf numFmtId="200" fontId="28" fillId="47" borderId="10" xfId="0" applyNumberFormat="1" applyFont="1" applyFill="1" applyBorder="1" applyAlignment="1">
      <x:alignment horizontal="center" vertical="center" wrapText="1"/>
    </x:xf>
    <x:xf numFmtId="1" fontId="28" fillId="47" borderId="10" xfId="0" applyNumberFormat="1" applyFont="1" applyFill="1" applyBorder="1" applyAlignment="1">
      <x:alignment horizontal="center" vertical="center" wrapText="1"/>
    </x:xf>
    <x:xf numFmtId="201" fontId="28" fillId="47" borderId="10" xfId="0" applyNumberFormat="1" applyFont="1" applyFill="1" applyBorder="1" applyAlignment="1">
      <x:alignment horizontal="center" vertical="center" wrapText="1"/>
    </x:xf>
    <x:xf numFmtId="49" fontId="47" fillId="48" borderId="10" xfId="0" applyNumberFormat="1" applyFont="1" applyFill="1" applyBorder="1" applyAlignment="1">
      <x:alignment horizontal="center" vertical="center" wrapText="1"/>
    </x:xf>
    <x:xf numFmtId="0" fontId="47" fillId="48" borderId="10" xfId="0" applyNumberFormat="1" applyFont="1" applyFill="1" applyBorder="1" applyAlignment="1">
      <x:alignment vertical="center" wrapText="1"/>
    </x:xf>
    <x:xf numFmtId="0" fontId="47" fillId="48" borderId="10" xfId="0" applyNumberFormat="1" applyFont="1" applyFill="1" applyBorder="1" applyAlignment="1">
      <x:alignment horizontal="center" vertical="center" wrapText="1"/>
    </x:xf>
    <x:xf numFmtId="200" fontId="47" fillId="48" borderId="10" xfId="0" applyNumberFormat="1" applyFont="1" applyFill="1" applyBorder="1" applyAlignment="1">
      <x:alignment horizontal="center" vertical="center" wrapText="1"/>
    </x:xf>
    <x:xf numFmtId="1" fontId="47" fillId="48" borderId="10" xfId="0" applyNumberFormat="1" applyFont="1" applyFill="1" applyBorder="1" applyAlignment="1">
      <x:alignment horizontal="center" vertical="center" wrapText="1"/>
    </x:xf>
    <x:xf numFmtId="201" fontId="47" fillId="48" borderId="10" xfId="0" applyNumberFormat="1" applyFont="1" applyFill="1" applyBorder="1" applyAlignment="1">
      <x:alignment horizontal="center" vertical="center" wrapText="1"/>
    </x:xf>
    <x:xf numFmtId="49" fontId="29" fillId="48" borderId="10" xfId="0" applyNumberFormat="1" applyFont="1" applyFill="1" applyBorder="1" applyAlignment="1">
      <x:alignment horizontal="center" vertical="center" wrapText="1"/>
    </x:xf>
    <x:xf numFmtId="0" fontId="29" fillId="48" borderId="10" xfId="0" applyNumberFormat="1" applyFont="1" applyFill="1" applyBorder="1" applyAlignment="1">
      <x:alignment vertical="center" wrapText="1"/>
    </x:xf>
    <x:xf numFmtId="0" fontId="29" fillId="48" borderId="10" xfId="0" applyNumberFormat="1" applyFont="1" applyFill="1" applyBorder="1" applyAlignment="1">
      <x:alignment horizontal="center" vertical="center" wrapText="1"/>
    </x:xf>
    <x:xf numFmtId="200" fontId="29" fillId="48" borderId="10" xfId="0" applyNumberFormat="1" applyFont="1" applyFill="1" applyBorder="1" applyAlignment="1">
      <x:alignment horizontal="center" vertical="center" wrapText="1"/>
    </x:xf>
    <x:xf numFmtId="1" fontId="29" fillId="48" borderId="10" xfId="0" applyNumberFormat="1" applyFont="1" applyFill="1" applyBorder="1" applyAlignment="1">
      <x:alignment horizontal="center" vertical="center" wrapText="1"/>
    </x:xf>
    <x:xf numFmtId="201" fontId="29" fillId="48" borderId="10" xfId="0" applyNumberFormat="1" applyFont="1" applyFill="1" applyBorder="1" applyAlignment="1">
      <x:alignment horizontal="center" vertical="center" wrapText="1"/>
    </x:xf>
    <x:xf numFmtId="0" fontId="47" fillId="49" borderId="10" xfId="0" applyNumberFormat="1" applyFont="1" applyFill="1" applyBorder="1" applyAlignment="1">
      <x:alignment vertical="center"/>
    </x:xf>
    <x:xf numFmtId="0" fontId="47" fillId="49" borderId="10" xfId="0" applyNumberFormat="1" applyFont="1" applyFill="1" applyBorder="1" applyAlignment="1">
      <x:alignment vertical="center" wrapText="0"/>
    </x:xf>
    <x:xf numFmtId="0" fontId="48" fillId="49" borderId="10" xfId="0" applyNumberFormat="1" applyFont="1" applyFill="1" applyBorder="1" applyAlignment="1">
      <x:alignment vertical="center" wrapText="0"/>
    </x:xf>
    <x:xf numFmtId="0" fontId="47" fillId="48" borderId="10" xfId="0" applyNumberFormat="1" applyFont="1" applyFill="1" applyBorder="1" applyAlignment="1">
      <x:alignment vertical="top" wrapText="1"/>
    </x:xf>
    <x:xf numFmtId="0" fontId="48" fillId="48" borderId="10" xfId="0" applyNumberFormat="1" applyFont="1" applyFill="1" applyBorder="1" applyAlignment="1">
      <x:alignment vertical="top" wrapText="1"/>
    </x:xf>
    <x:xf numFmtId="0" fontId="29" fillId="48" borderId="10" xfId="0" applyNumberFormat="1" applyFont="1" applyFill="1" applyBorder="1" applyAlignment="1">
      <x:alignment vertical="top" wrapText="1"/>
    </x:xf>
    <x:xf numFmtId="0" fontId="50" fillId="48" borderId="10" xfId="0" applyNumberFormat="1" applyFont="1" applyFill="1" applyBorder="1" applyAlignment="1">
      <x:alignment vertical="top" wrapText="1"/>
    </x:xf>
    <x:xf numFmtId="0" fontId="48" fillId="45" borderId="10" xfId="0" applyNumberFormat="1" applyFont="1" applyFill="1" applyBorder="1" applyAlignment="1">
      <x:alignment vertical="bottom" wrapText="1"/>
    </x:xf>
    <x:xf numFmtId="0" fontId="47" fillId="47" borderId="10" xfId="0" applyNumberFormat="1" applyFont="1" applyFill="1" applyBorder="1" applyAlignment="1">
      <x:alignment vertical="top" wrapText="1"/>
    </x:xf>
    <x:xf numFmtId="0" fontId="28" fillId="47" borderId="10" xfId="0" applyNumberFormat="1" applyFont="1" applyFill="1" applyBorder="1" applyAlignment="1">
      <x:alignment vertical="top" wrapText="1"/>
    </x:xf>
    <x:xf numFmtId="167" fontId="47" fillId="47" borderId="10" xfId="0" applyNumberFormat="1" applyFont="1" applyFill="1" applyBorder="1" applyAlignment="1">
      <x:alignment vertical="top" wrapText="1"/>
    </x:xf>
    <x:xf numFmtId="167" fontId="28" fillId="47" borderId="10" xfId="0" applyNumberFormat="1" applyFont="1" applyFill="1" applyBorder="1" applyAlignment="1">
      <x:alignment vertical="top" wrapText="1"/>
    </x:xf>
    <x:xf numFmtId="49" fontId="47" fillId="47" borderId="10" xfId="0" applyNumberFormat="1" applyFont="1" applyFill="1" applyBorder="1" applyAlignment="1">
      <x:alignment horizontal="center" vertical="top" wrapText="1"/>
    </x:xf>
    <x:xf numFmtId="0" fontId="47" fillId="47" borderId="10" xfId="0" applyNumberFormat="1" applyFont="1" applyFill="1" applyBorder="1" applyAlignment="1">
      <x:alignment horizontal="center" vertical="top" wrapText="1"/>
    </x:xf>
    <x:xf numFmtId="49" fontId="28" fillId="47" borderId="10" xfId="0" applyNumberFormat="1" applyFont="1" applyFill="1" applyBorder="1" applyAlignment="1">
      <x:alignment horizontal="center" vertical="top" wrapText="1"/>
    </x:xf>
    <x:xf numFmtId="0" fontId="28" fillId="47" borderId="10" xfId="0" applyNumberFormat="1" applyFont="1" applyFill="1" applyBorder="1" applyAlignment="1">
      <x:alignment horizontal="center" vertical="top" wrapText="1"/>
    </x:xf>
    <x:xf numFmtId="0" fontId="47" fillId="50" borderId="10" xfId="0" applyNumberFormat="1" applyFont="1" applyFill="1" applyBorder="1" applyAlignment="1">
      <x:alignment vertical="top" wrapText="1"/>
    </x:xf>
    <x:xf numFmtId="0" fontId="28" fillId="50" borderId="10" xfId="0" applyNumberFormat="1" applyFont="1" applyFill="1" applyBorder="1" applyAlignment="1">
      <x:alignment vertical="top" wrapText="1"/>
    </x:xf>
    <x:xf numFmtId="167" fontId="47" fillId="50" borderId="10" xfId="0" applyNumberFormat="1" applyFont="1" applyFill="1" applyBorder="1" applyAlignment="1">
      <x:alignment vertical="top" wrapText="1"/>
    </x:xf>
    <x:xf numFmtId="167" fontId="28" fillId="50" borderId="10" xfId="0" applyNumberFormat="1" applyFont="1" applyFill="1" applyBorder="1" applyAlignment="1">
      <x:alignment vertical="top" wrapText="1"/>
    </x:xf>
    <x:xf numFmtId="0" fontId="48" fillId="50" borderId="10" xfId="0" applyNumberFormat="1" applyFont="1" applyFill="1" applyBorder="1" applyAlignment="1">
      <x:alignment vertical="top" wrapText="1"/>
    </x:xf>
    <x:xf numFmtId="0" fontId="30" fillId="50" borderId="10" xfId="0" applyNumberFormat="1" applyFont="1" applyFill="1" applyBorder="1" applyAlignment="1">
      <x:alignment vertical="top" wrapText="1"/>
    </x:xf>
    <x:xf numFmtId="49" fontId="47" fillId="50" borderId="10" xfId="0" applyNumberFormat="1" applyFont="1" applyFill="1" applyBorder="1" applyAlignment="1">
      <x:alignment horizontal="center" vertical="top" wrapText="1"/>
    </x:xf>
    <x:xf numFmtId="0" fontId="47" fillId="50" borderId="10" xfId="0" applyNumberFormat="1" applyFont="1" applyFill="1" applyBorder="1" applyAlignment="1">
      <x:alignment horizontal="center" vertical="top" wrapText="1"/>
    </x:xf>
    <x:xf numFmtId="49" fontId="28" fillId="50" borderId="10" xfId="0" applyNumberFormat="1" applyFont="1" applyFill="1" applyBorder="1" applyAlignment="1">
      <x:alignment horizontal="center" vertical="top" wrapText="1"/>
    </x:xf>
    <x:xf numFmtId="0" fontId="28" fillId="50" borderId="10" xfId="0" applyNumberFormat="1" applyFont="1" applyFill="1" applyBorder="1" applyAlignment="1">
      <x:alignment horizontal="center" vertical="top" wrapText="1"/>
    </x:xf>
    <x:xf numFmtId="202" fontId="28" fillId="12" borderId="10" xfId="0" applyNumberFormat="1" applyFont="1" applyFill="1" applyBorder="1" applyAlignment="1">
      <x:alignment horizontal="center" vertical="center" wrapText="1"/>
    </x:xf>
    <x:xf numFmtId="202" fontId="23" fillId="12" borderId="10" xfId="0" applyNumberFormat="1" applyFont="1" applyFill="1" applyBorder="1" applyAlignment="1">
      <x:alignment horizontal="center" vertical="center" wrapText="1"/>
    </x:xf>
    <x:xf numFmtId="202" fontId="23" fillId="12" borderId="10" xfId="0" applyNumberFormat="1" applyFont="1" applyFill="1" applyBorder="1" applyAlignment="1">
      <x:alignment vertical="center" wrapText="0"/>
    </x:xf>
    <x:xf numFmtId="202" fontId="29" fillId="18" borderId="10" xfId="0" applyNumberFormat="1" applyFont="1" applyFill="1" applyBorder="1" applyAlignment="1">
      <x:alignment horizontal="center" vertical="center" wrapText="1"/>
    </x:xf>
    <x:xf numFmtId="202" fontId="9" fillId="7" borderId="5" xfId="0" applyNumberFormat="1" applyFont="1" applyFill="1" applyBorder="1" applyAlignment="1">
      <x:alignment horizontal="center" vertical="center" wrapText="1"/>
    </x:xf>
    <x:xf numFmtId="202" fontId="26" fillId="12" borderId="10" xfId="0" applyNumberFormat="1" applyFont="1" applyFill="1" applyBorder="1" applyAlignment="1">
      <x:alignment horizontal="center" vertical="center" wrapText="1"/>
    </x:xf>
    <x:xf numFmtId="202" fontId="26" fillId="12" borderId="10" xfId="0" applyNumberFormat="1" applyFont="1" applyFill="1" applyBorder="1" applyAlignment="1">
      <x:alignment vertical="center" wrapText="0"/>
    </x:xf>
    <x:xf numFmtId="202" fontId="23" fillId="12" borderId="10" xfId="0" applyNumberFormat="1" applyFont="1" applyFill="1" applyBorder="1" applyAlignment="1">
      <x:alignment horizontal="center" vertical="center" wrapText="0"/>
    </x:xf>
    <x:xf numFmtId="202" fontId="26" fillId="12" borderId="1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24" fillId="1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81">
    <x:dxf>
      <x:fill>
        <x:patternFill>
          <x:bgColor rgb="FF6AA84F"/>
        </x:patternFill>
      </x:fill>
      <x:border/>
    </x:dxf>
    <x:dxf>
      <x:fill>
        <x:patternFill>
          <x:bgColor rgb="FFECEFF1"/>
        </x:patternFill>
      </x:fill>
      <x:border/>
    </x:dxf>
    <x:dxf>
      <x:fill>
        <x:patternFill>
          <x:bgColor rgb="FF5B9BD5"/>
        </x:patternFill>
      </x:fill>
      <x:border/>
    </x:dxf>
    <x:dxf>
      <x:fill>
        <x:patternFill>
          <x:bgColor rgb="FF76A5AF"/>
        </x:patternFill>
      </x:fill>
      <x:border/>
    </x:dxf>
    <x:dxf>
      <x:fill>
        <x:patternFill>
          <x:bgColor rgb="FF6FA8DC"/>
        </x:patternFill>
      </x:fill>
      <x:border/>
    </x:dxf>
    <x:dxf>
      <x:fill>
        <x:patternFill>
          <x:bgColor rgb="FF8E7CC3"/>
        </x:patternFill>
      </x:fill>
      <x:border/>
    </x:dxf>
    <x:dxf>
      <x:fill>
        <x:patternFill>
          <x:bgColor rgb="FFC27BA0"/>
        </x:patternFill>
      </x:fill>
      <x:border/>
    </x:dxf>
    <x:dxf>
      <x:font>
        <x:color rgb="FF7F6000"/>
      </x:font>
      <x:fill>
        <x:patternFill>
          <x:bgColor rgb="FFFFF2CC"/>
        </x:patternFill>
      </x:fill>
      <x:border/>
    </x:dxf>
    <x:dxf>
      <x:font>
        <x:color rgb="FF9C0006"/>
      </x:font>
      <x:fill>
        <x:patternFill>
          <x:bgColor rgb="FFF4CCCC"/>
        </x:patternFill>
      </x:fill>
      <x:border/>
    </x:dxf>
    <x:dxf>
      <x:fill>
        <x:patternFill>
          <x:bgColor rgb="FF6AA84F"/>
        </x:patternFill>
      </x:fill>
    </x:dxf>
    <x:dxf>
      <x:fill>
        <x:patternFill>
          <x:bgColor rgb="FF5B9BD5"/>
        </x:patternFill>
      </x:fill>
    </x:dxf>
    <x:dxf>
      <x:fill>
        <x:patternFill>
          <x:bgColor rgb="FF76A5AF"/>
        </x:patternFill>
      </x:fill>
    </x:dxf>
    <x:dxf>
      <x:fill>
        <x:patternFill>
          <x:bgColor rgb="FF8FAADC"/>
        </x:patternFill>
      </x:fill>
    </x:dxf>
    <x:dxf>
      <x:fill>
        <x:patternFill>
          <x:bgColor rgb="FF8064A2"/>
        </x:patternFill>
      </x:fill>
    </x:dxf>
    <x:dxf>
      <x:fill>
        <x:patternFill>
          <x:bgColor rgb="FF4F81BD"/>
        </x:patternFill>
      </x:fill>
    </x:dxf>
    <x:dxf>
      <x:fill>
        <x:patternFill>
          <x:bgColor rgb="FF76A5AF"/>
        </x:patternFill>
      </x:fill>
    </x:dxf>
    <x:dxf>
      <x:fill>
        <x:patternFill>
          <x:bgColor rgb="FF8FAADC"/>
        </x:patternFill>
      </x:fill>
    </x:dxf>
    <x:dxf>
      <x:font>
        <x:color rgb="FF8B65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6AA84F"/>
        </x:patternFill>
      </x:fill>
    </x:dxf>
    <x:dxf>
      <x:fill>
        <x:patternFill>
          <x:bgColor rgb="FF5B9BD5"/>
        </x:patternFill>
      </x:fill>
    </x:dxf>
    <x:dxf>
      <x:fill>
        <x:patternFill>
          <x:bgColor rgb="FF76A5AF"/>
        </x:patternFill>
      </x:fill>
    </x:dxf>
    <x:dxf>
      <x:fill>
        <x:patternFill>
          <x:bgColor rgb="FF8FAADC"/>
        </x:patternFill>
      </x:fill>
    </x:dxf>
    <x:dxf>
      <x:fill>
        <x:patternFill>
          <x:bgColor rgb="FF8064A2"/>
        </x:patternFill>
      </x:fill>
    </x:dxf>
    <x:dxf>
      <x:fill>
        <x:patternFill>
          <x:bgColor rgb="FF4F81BD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6AA84F"/>
        </x:patternFill>
      </x:fill>
    </x:dxf>
    <x:dxf>
      <x:fill>
        <x:patternFill>
          <x:bgColor rgb="FF5B9BD5"/>
        </x:patternFill>
      </x:fill>
    </x:dxf>
    <x:dxf>
      <x:fill>
        <x:patternFill>
          <x:bgColor rgb="FF76A5AF"/>
        </x:patternFill>
      </x:fill>
    </x:dxf>
    <x:dxf>
      <x:fill>
        <x:patternFill>
          <x:bgColor rgb="FF8FAADC"/>
        </x:patternFill>
      </x:fill>
    </x:dxf>
    <x:dxf>
      <x:fill>
        <x:patternFill>
          <x:bgColor rgb="FF8064A2"/>
        </x:patternFill>
      </x:fill>
    </x:dxf>
    <x:dxf>
      <x:fill>
        <x:patternFill>
          <x:bgColor rgb="FF4F81BD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6AA84F"/>
        </x:patternFill>
      </x:fill>
    </x:dxf>
    <x:dxf>
      <x:fill>
        <x:patternFill>
          <x:bgColor rgb="FF5B9BD5"/>
        </x:patternFill>
      </x:fill>
    </x:dxf>
    <x:dxf>
      <x:fill>
        <x:patternFill>
          <x:bgColor rgb="FF76A5AF"/>
        </x:patternFill>
      </x:fill>
    </x:dxf>
    <x:dxf>
      <x:fill>
        <x:patternFill>
          <x:bgColor rgb="FF8FAADC"/>
        </x:patternFill>
      </x:fill>
    </x:dxf>
    <x:dxf>
      <x:fill>
        <x:patternFill>
          <x:bgColor rgb="FF8064A2"/>
        </x:patternFill>
      </x:fill>
    </x:dxf>
    <x:dxf>
      <x:fill>
        <x:patternFill>
          <x:bgColor rgb="FF4F81BD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6AA84F"/>
        </x:patternFill>
      </x:fill>
    </x:dxf>
    <x:dxf>
      <x:fill>
        <x:patternFill>
          <x:bgColor rgb="FF5B9BD5"/>
        </x:patternFill>
      </x:fill>
    </x:dxf>
    <x:dxf>
      <x:fill>
        <x:patternFill>
          <x:bgColor rgb="FF76A5AF"/>
        </x:patternFill>
      </x:fill>
    </x:dxf>
    <x:dxf>
      <x:fill>
        <x:patternFill>
          <x:bgColor rgb="FF8FAADC"/>
        </x:patternFill>
      </x:fill>
    </x:dxf>
    <x:dxf>
      <x:fill>
        <x:patternFill>
          <x:bgColor rgb="FF8064A2"/>
        </x:patternFill>
      </x:fill>
    </x:dxf>
    <x:dxf>
      <x:fill>
        <x:patternFill>
          <x:bgColor rgb="FF4F81BD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6AA84F"/>
        </x:patternFill>
      </x:fill>
    </x:dxf>
    <x:dxf>
      <x:fill>
        <x:patternFill>
          <x:bgColor rgb="FF5B9BD5"/>
        </x:patternFill>
      </x:fill>
    </x:dxf>
    <x:dxf>
      <x:fill>
        <x:patternFill>
          <x:bgColor rgb="FF76A5AF"/>
        </x:patternFill>
      </x:fill>
    </x:dxf>
    <x:dxf>
      <x:fill>
        <x:patternFill>
          <x:bgColor rgb="FF8FAADC"/>
        </x:patternFill>
      </x:fill>
    </x:dxf>
    <x:dxf>
      <x:fill>
        <x:patternFill>
          <x:bgColor rgb="FF8064A2"/>
        </x:patternFill>
      </x:fill>
    </x:dxf>
    <x:dxf>
      <x:fill>
        <x:patternFill>
          <x:bgColor rgb="FF4F81BD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6AA84F"/>
        </x:patternFill>
      </x:fill>
    </x:dxf>
    <x:dxf>
      <x:fill>
        <x:patternFill>
          <x:bgColor rgb="FF5B9BD5"/>
        </x:patternFill>
      </x:fill>
    </x:dxf>
    <x:dxf>
      <x:fill>
        <x:patternFill>
          <x:bgColor rgb="FF76A5AF"/>
        </x:patternFill>
      </x:fill>
    </x:dxf>
    <x:dxf>
      <x:fill>
        <x:patternFill>
          <x:bgColor rgb="FF8FAADC"/>
        </x:patternFill>
      </x:fill>
    </x:dxf>
    <x:dxf>
      <x:fill>
        <x:patternFill>
          <x:bgColor rgb="FF8064A2"/>
        </x:patternFill>
      </x:fill>
    </x:dxf>
    <x:dxf>
      <x:fill>
        <x:patternFill>
          <x:bgColor rgb="FF4F81BD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526579"/>
      </x:font>
      <x:fill>
        <x:patternFill>
          <x:bgColor rgb="FFD9E1F2"/>
        </x:patternFill>
      </x:fill>
    </x:dxf>
    <x:dxf>
      <x:fill>
        <x:patternFill>
          <x:bgColor rgb="FF6AA84F"/>
        </x:patternFill>
      </x:fill>
    </x:dxf>
    <x:dxf>
      <x:fill>
        <x:patternFill>
          <x:bgColor rgb="FFF4B183"/>
        </x:patternFill>
      </x:fill>
    </x:dxf>
    <x:dxf>
      <x:fill>
        <x:patternFill>
          <x:bgColor rgb="FFBFBFBF"/>
        </x:patternFill>
      </x:fill>
    </x:dxf>
    <x:dxf>
      <x:fill>
        <x:patternFill>
          <x:bgColor rgb="FF5B9BD5"/>
        </x:patternFill>
      </x:fill>
    </x:dxf>
    <x:dxf>
      <x:fill>
        <x:patternFill>
          <x:bgColor rgb="FF76A5AF"/>
        </x:patternFill>
      </x:fill>
    </x:dxf>
    <x:dxf>
      <x:fill>
        <x:patternFill>
          <x:bgColor rgb="FF8FAADC"/>
        </x:patternFill>
      </x:fill>
    </x:dxf>
    <x:dxf>
      <x:fill>
        <x:patternFill>
          <x:bgColor rgb="FF8064A2"/>
        </x:patternFill>
      </x:fill>
    </x:dxf>
    <x:dxf>
      <x:fill>
        <x:patternFill>
          <x:bgColor rgb="FF4F81BD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6418589d34094" /><Relationship Type="http://schemas.openxmlformats.org/officeDocument/2006/relationships/theme" Target="/xl/theme/theme1.xml" Id="Rd788e53ca83f4aed" /><Relationship Type="http://schemas.openxmlformats.org/officeDocument/2006/relationships/sharedStrings" Target="/xl/sharedStrings.xml" Id="R3f4736039a5e46c1" /><Relationship Type="http://schemas.openxmlformats.org/officeDocument/2006/relationships/worksheet" Target="/xl/worksheets/sheet1.xml" Id="R5fee2755dacc4f99" /><Relationship Type="http://schemas.openxmlformats.org/officeDocument/2006/relationships/worksheet" Target="/xl/worksheets/sheet2.xml" Id="R64ab441824fe449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10" topLeftCell="E11" activePane="bottomRight" state="frozen"/>
    </x:sheetView>
  </x:sheetViews>
  <x:sheetFormatPr defaultColWidth="12.630000114440918" defaultRowHeight="15"/>
  <x:cols>
    <x:col min="1" max="1" width="2.5" customWidth="1"/>
    <x:col min="2" max="2" width="11.25" customWidth="1"/>
    <x:col min="3" max="3" width="37.5" customWidth="1"/>
    <x:col min="4" max="4" width="10.630000114440918" customWidth="1"/>
    <x:col min="5" max="6" width="11.25" customWidth="1"/>
    <x:col min="7" max="7" width="8.130000114440918" customWidth="1"/>
    <x:col min="8" max="8" width="10.630000114440918" customWidth="1"/>
    <x:col min="9" max="48" width="2.75" customWidth="1"/>
    <x:col min="9" max="9" width="2.75" hidden="0" customWidth="1"/>
    <x:col min="10" max="10" width="2.75" hidden="0" customWidth="1"/>
    <x:col min="11" max="11" width="2.75" hidden="0" customWidth="1"/>
    <x:col min="12" max="12" width="2.75" hidden="0" customWidth="1"/>
    <x:col min="13" max="13" width="2.75" hidden="0" customWidth="1"/>
    <x:col min="14" max="14" width="2.75" hidden="0" customWidth="1"/>
    <x:col min="15" max="15" width="2.75" hidden="0" customWidth="1"/>
    <x:col min="16" max="16" width="2.75" hidden="0" customWidth="1"/>
    <x:col min="17" max="17" width="2.75" hidden="0" customWidth="1"/>
    <x:col min="18" max="18" width="2.75" hidden="0" customWidth="1"/>
    <x:col min="19" max="19" width="2.75" hidden="0" customWidth="1"/>
    <x:col min="20" max="20" width="2.75" hidden="0" customWidth="1"/>
    <x:col min="21" max="21" width="2.75" hidden="0" customWidth="1"/>
    <x:col min="22" max="22" width="2.75" hidden="0" customWidth="1"/>
    <x:col min="23" max="23" width="2.75" hidden="0" customWidth="1"/>
    <x:col min="24" max="24" width="2.75" hidden="0" customWidth="1"/>
    <x:col min="25" max="25" width="2.75" hidden="0" customWidth="1"/>
    <x:col min="26" max="26" width="2.75" hidden="0" customWidth="1"/>
    <x:col min="27" max="27" width="2.75" hidden="0" customWidth="1"/>
    <x:col min="28" max="28" width="2.75" hidden="0" customWidth="1"/>
    <x:col min="29" max="29" width="2.75" hidden="0" customWidth="1"/>
    <x:col min="30" max="30" width="2.75" hidden="0" customWidth="1"/>
    <x:col min="31" max="31" width="2.75" hidden="0" customWidth="1"/>
    <x:col min="32" max="32" width="2.75" hidden="0" customWidth="1"/>
    <x:col min="33" max="33" width="2.75" hidden="0" customWidth="1"/>
    <x:col min="34" max="34" width="2.75" hidden="0" customWidth="1"/>
    <x:col min="35" max="35" width="2.75" hidden="0" customWidth="1"/>
    <x:col min="36" max="36" width="2.75" hidden="0" customWidth="1"/>
    <x:col min="37" max="37" width="2.75" hidden="0" customWidth="1"/>
    <x:col min="38" max="38" width="2.75" hidden="0" customWidth="1"/>
    <x:col min="39" max="39" width="2.75" hidden="0" customWidth="1"/>
    <x:col min="40" max="40" width="2.75" hidden="0" customWidth="1"/>
    <x:col min="41" max="41" width="2.75" hidden="0" customWidth="1"/>
    <x:col min="42" max="42" width="2.75" hidden="0" customWidth="1"/>
    <x:col min="43" max="43" width="2.75" hidden="0" customWidth="1"/>
    <x:col min="44" max="44" width="2.75" hidden="0" customWidth="1"/>
    <x:col min="45" max="45" width="2.75" hidden="0" customWidth="1"/>
    <x:col min="46" max="46" width="2.75" hidden="0" customWidth="1"/>
    <x:col min="47" max="47" width="2.75" hidden="0" customWidth="1"/>
    <x:col min="48" max="48" width="2.75" hidden="0" customWidth="1"/>
    <x:col min="49" max="49" width="2.75" hidden="0" customWidth="1"/>
    <x:col min="50" max="50" width="2.75" hidden="0" customWidth="1"/>
    <x:col min="51" max="51" width="2.75" hidden="0" customWidth="1"/>
    <x:col min="52" max="52" width="2.75" hidden="0" customWidth="1"/>
    <x:col min="53" max="53" width="2.75" hidden="0" customWidth="1"/>
    <x:col min="54" max="54" width="2.75" hidden="0" customWidth="1"/>
    <x:col min="55" max="55" width="2.75" hidden="0" customWidth="1"/>
    <x:col min="56" max="56" width="2.75" hidden="0" customWidth="1"/>
    <x:col min="57" max="57" width="2.75" hidden="0" customWidth="1"/>
    <x:col min="58" max="58" width="2.75" hidden="0" customWidth="1"/>
    <x:col min="59" max="59" width="2.75" hidden="0" customWidth="1"/>
    <x:col min="60" max="60" width="2.75" hidden="0" customWidth="1"/>
    <x:col min="61" max="61" width="2.75" hidden="0" customWidth="1"/>
    <x:col min="62" max="62" width="2.75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</x:row>
    <x:row r="2" ht="34.5" customHeight="1">
      <x:c r="A2" s="2"/>
      <x:c r="B2" s="8" t="s">
        <x:v>0</x:v>
      </x:c>
      <x:c r="H2" s="2"/>
      <x:c r="I2" s="9" t="str">
        <x:v>실행범위 100개(과거 기록 포함) · 보류 7개 · 총 107개 · 주말 포함</x:v>
      </x:c>
    </x:row>
    <x:row r="3" ht="9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</x:row>
    <x:row r="4" ht="21" customHeight="1">
      <x:c r="A4" s="2"/>
      <x:c r="B4" s="10" t="s">
        <x:v>1</x:v>
      </x:c>
      <x:c r="D4" s="10" t="s">
        <x:v>2</x:v>
      </x:c>
      <x:c r="H4" s="10"/>
      <x:c r="I4" s="10" t="s">
        <x:v>3</x:v>
      </x:c>
      <x:c r="P4" s="11">
        <x:v>46311.0</x:v>
      </x:c>
      <x:c r="W4" s="10"/>
      <x:c r="X4" s="10" t="s">
        <x:v>4</x:v>
      </x:c>
      <x:c r="AE4" s="11">
        <x:v>46364.0</x:v>
      </x:c>
      <x:c r="AL4" s="10"/>
      <x:c r="AM4" s="10"/>
      <x:c r="AN4" s="10"/>
      <x:c r="AO4" s="10"/>
      <x:c r="AP4" s="10"/>
      <x:c r="AQ4" s="10"/>
      <x:c r="AR4" s="10"/>
      <x:c r="AS4" s="10"/>
      <x:c r="AT4" s="10"/>
      <x:c r="AU4" s="10"/>
      <x:c r="AV4" s="10"/>
    </x:row>
    <x:row r="5" ht="21" customHeight="1">
      <x:c r="A5" s="2"/>
      <x:c r="B5" s="10" t="s">
        <x:v>5</x:v>
      </x:c>
      <x:c r="D5" s="10" t="s">
        <x:v>6</x:v>
      </x:c>
      <x:c r="H5" s="10"/>
      <x:c r="I5" s="10" t="s">
        <x:v>7</x:v>
      </x:c>
      <x:c r="P5" s="11" t="n">
        <x:v>46321</x:v>
      </x:c>
      <x:c r="W5" s="10"/>
      <x:c r="X5" s="10" t="s">
        <x:v>8</x:v>
      </x:c>
      <x:c r="AE5" s="12" t="n">
        <x:f>COUNTIFS(I10:BJ10,"&gt;="&amp;P4,I10:BJ10,"&lt;="&amp;AE4)</x:f>
        <x:v>54</x:v>
      </x:c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</x:row>
    <x:row r="6" ht="34" customHeight="1">
      <x:c r="A6" s="2"/>
      <x:c r="B6" s="13" t="str">
        <x:v>날짜 기준 자동 상태 · 완료는 일정상 기간 종료(실제 작업 완료 확인은 별도)</x:v>
      </x:c>
      <x:c r="I6" s="937" t="str">
        <x:v>신규 작업은 해당 단계에 편입·시작일 순 배치. 11/18 구현 마감 · 11/19 검증 · 11/26~12/3 수정 · 보류는 집계 제외
간트: 시작 전=단계색 · 진행 중=주황 · 완료=녹색 · 보류=회색</x:v>
      </x:c>
    </x:row>
    <x:row r="7" ht="7.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</x:row>
    <x:row r="8" ht="18.75" customHeight="1">
      <x:c r="A8" s="2"/>
      <x:c r="B8" s="14" t="s">
        <x:v>9</x:v>
      </x:c>
      <x:c r="I8" s="55" t="str">
        <x:v>1~2주</x:v>
      </x:c>
      <x:c r="J8" s="58"/>
      <x:c r="K8" s="58"/>
      <x:c r="L8" s="58"/>
      <x:c r="M8" s="58"/>
      <x:c r="N8" s="58"/>
      <x:c r="O8" s="58"/>
      <x:c r="P8" s="58"/>
      <x:c r="Q8" s="58"/>
      <x:c r="R8" s="58"/>
      <x:c r="S8" s="58"/>
      <x:c r="T8" s="58"/>
      <x:c r="U8" s="58"/>
      <x:c r="V8" s="55"/>
      <x:c r="W8" s="58"/>
      <x:c r="X8" s="58" t="str">
        <x:v>3~4주</x:v>
      </x:c>
      <x:c r="Y8" s="58"/>
      <x:c r="Z8" s="58"/>
      <x:c r="AA8" s="58"/>
      <x:c r="AB8" s="58"/>
      <x:c r="AC8" s="58"/>
      <x:c r="AD8" s="58"/>
      <x:c r="AE8" s="58"/>
      <x:c r="AF8" s="55"/>
      <x:c r="AG8" s="58"/>
      <x:c r="AH8" s="58"/>
      <x:c r="AI8" s="58"/>
      <x:c r="AJ8" s="58"/>
      <x:c r="AK8" s="58"/>
      <x:c r="AL8" s="58" t="str">
        <x:v>5~6주</x:v>
      </x:c>
      <x:c r="AM8" s="58"/>
      <x:c r="AN8" s="58"/>
      <x:c r="AO8" s="58"/>
      <x:c r="AP8" s="55"/>
      <x:c r="AQ8" s="58"/>
      <x:c r="AR8" s="58"/>
      <x:c r="AS8" s="58"/>
      <x:c r="AT8" s="58"/>
      <x:c r="AU8" s="58"/>
      <x:c r="AV8" s="58"/>
      <x:c r="AW8" s="58"/>
      <x:c r="AX8" s="58"/>
      <x:c r="AY8" s="58"/>
      <x:c r="AZ8" s="58" t="str">
        <x:v>7~8주</x:v>
      </x:c>
      <x:c r="BA8" s="58"/>
      <x:c r="BB8" s="58"/>
      <x:c r="BC8" s="58"/>
      <x:c r="BD8" s="58"/>
      <x:c r="BE8" s="58"/>
      <x:c r="BF8" s="58"/>
      <x:c r="BG8" s="58"/>
      <x:c r="BH8" s="58"/>
      <x:c r="BI8" s="58"/>
      <x:c r="BJ8" s="58"/>
    </x:row>
    <x:row r="9" ht="27" customHeight="1">
      <x:c r="A9" s="2"/>
      <x:c r="B9" s="19" t="str">
        <x:v>입력: 주 담당 · 시작일 · 마감일 / 작업 상태는 날짜로 자동 계산</x:v>
      </x:c>
      <x:c r="I9" s="62" t="str">
        <x:v>1주 10/16~23</x:v>
      </x:c>
      <x:c r="J9" s="67"/>
      <x:c r="K9" s="67"/>
      <x:c r="L9" s="67"/>
      <x:c r="M9" s="67"/>
      <x:c r="N9" s="67"/>
      <x:c r="O9" s="67"/>
      <x:c r="P9" s="68"/>
      <x:c r="Q9" s="62" t="str">
        <x:v>2주 10/24~30</x:v>
      </x:c>
      <x:c r="R9" s="67"/>
      <x:c r="S9" s="67"/>
      <x:c r="T9" s="67"/>
      <x:c r="U9" s="68"/>
      <x:c r="V9" s="62"/>
      <x:c r="W9" s="67"/>
      <x:c r="X9" s="67" t="str">
        <x:v>3주 10/31~11/6</x:v>
      </x:c>
      <x:c r="Y9" s="67"/>
      <x:c r="Z9" s="68"/>
      <x:c r="AA9" s="62"/>
      <x:c r="AB9" s="67"/>
      <x:c r="AC9" s="67"/>
      <x:c r="AD9" s="67"/>
      <x:c r="AE9" s="68" t="str">
        <x:v>4주 11/7~13</x:v>
      </x:c>
      <x:c r="AF9" s="62"/>
      <x:c r="AG9" s="67"/>
      <x:c r="AH9" s="67"/>
      <x:c r="AI9" s="67"/>
      <x:c r="AJ9" s="68"/>
      <x:c r="AK9" s="62"/>
      <x:c r="AL9" s="67" t="str">
        <x:v>5주 11/14~20</x:v>
      </x:c>
      <x:c r="AM9" s="67"/>
      <x:c r="AN9" s="67"/>
      <x:c r="AO9" s="68"/>
      <x:c r="AP9" s="62"/>
      <x:c r="AQ9" s="67"/>
      <x:c r="AR9" s="67"/>
      <x:c r="AS9" s="67" t="str">
        <x:v>6주 11/21~27</x:v>
      </x:c>
      <x:c r="AT9" s="68"/>
      <x:c r="AU9" s="62"/>
      <x:c r="AV9" s="68"/>
      <x:c r="AW9" s="72"/>
      <x:c r="AX9" s="72"/>
      <x:c r="AY9" s="72"/>
      <x:c r="AZ9" s="72" t="str">
        <x:v>7주 11/28~12/4</x:v>
      </x:c>
      <x:c r="BA9" s="72"/>
      <x:c r="BB9" s="72"/>
      <x:c r="BC9" s="72"/>
      <x:c r="BD9" s="72"/>
      <x:c r="BE9" s="72"/>
      <x:c r="BF9" s="72"/>
      <x:c r="BG9" s="72" t="str">
        <x:v>8주 12/5~8</x:v>
      </x:c>
      <x:c r="BH9" s="72"/>
      <x:c r="BI9" s="72"/>
      <x:c r="BJ9" s="72"/>
    </x:row>
    <x:row r="10" ht="25.5" customHeight="1">
      <x:c r="A10" s="2"/>
      <x:c r="B10" s="23" t="s">
        <x:v>10</x:v>
      </x:c>
      <x:c r="C10" s="23" t="s">
        <x:v>11</x:v>
      </x:c>
      <x:c r="D10" s="23" t="s">
        <x:v>12</x:v>
      </x:c>
      <x:c r="E10" s="23" t="s">
        <x:v>13</x:v>
      </x:c>
      <x:c r="F10" s="23" t="s">
        <x:v>14</x:v>
      </x:c>
      <x:c r="G10" s="23" t="s">
        <x:v>15</x:v>
      </x:c>
      <x:c r="H10" s="23" t="str">
        <x:v>작업 상태</x:v>
      </x:c>
      <x:c r="I10" s="53" t="n">
        <x:f>$P$4</x:f>
        <x:v>46311</x:v>
      </x:c>
      <x:c r="J10" s="53" t="n">
        <x:f t="shared" ref="J10:P10" si="1">I10+1</x:f>
        <x:v>46312</x:v>
      </x:c>
      <x:c r="K10" s="53" t="n">
        <x:f t="shared" si="1">J10+1</x:f>
        <x:v>46313</x:v>
      </x:c>
      <x:c r="L10" s="53" t="n">
        <x:f t="shared" si="1">K10+1</x:f>
        <x:v>46314</x:v>
      </x:c>
      <x:c r="M10" s="53" t="n">
        <x:f t="shared" si="1">L10+1</x:f>
        <x:v>46315</x:v>
      </x:c>
      <x:c r="N10" s="53" t="n">
        <x:f t="shared" si="1">M10+1</x:f>
        <x:v>46316</x:v>
      </x:c>
      <x:c r="O10" s="53" t="n">
        <x:f t="shared" si="1">N10+1</x:f>
        <x:v>46317</x:v>
      </x:c>
      <x:c r="P10" s="53" t="n">
        <x:f t="shared" si="1">O10+1</x:f>
        <x:v>46318</x:v>
      </x:c>
      <x:c r="Q10" s="53" t="n">
        <x:f t="shared" ref="Q10:AV10" si="2">P10+1</x:f>
        <x:v>46319</x:v>
      </x:c>
      <x:c r="R10" s="53" t="n">
        <x:f t="shared" si="2">Q10+1</x:f>
        <x:v>46320</x:v>
      </x:c>
      <x:c r="S10" s="53" t="n">
        <x:f t="shared" si="2">R10+1</x:f>
        <x:v>46321</x:v>
      </x:c>
      <x:c r="T10" s="53" t="n">
        <x:f t="shared" si="2">S10+1</x:f>
        <x:v>46322</x:v>
      </x:c>
      <x:c r="U10" s="53" t="n">
        <x:f t="shared" si="2">T10+1</x:f>
        <x:v>46323</x:v>
      </x:c>
      <x:c r="V10" s="53" t="n">
        <x:f t="shared" si="2">U10+1</x:f>
        <x:v>46324</x:v>
      </x:c>
      <x:c r="W10" s="53" t="n">
        <x:f t="shared" si="2">V10+1</x:f>
        <x:v>46325</x:v>
      </x:c>
      <x:c r="X10" s="53" t="n">
        <x:f t="shared" si="2">W10+1</x:f>
        <x:v>46326</x:v>
      </x:c>
      <x:c r="Y10" s="53" t="n">
        <x:f t="shared" si="2">X10+1</x:f>
        <x:v>46327</x:v>
      </x:c>
      <x:c r="Z10" s="53" t="n">
        <x:f t="shared" si="2">Y10+1</x:f>
        <x:v>46328</x:v>
      </x:c>
      <x:c r="AA10" s="53" t="n">
        <x:f t="shared" si="2">Z10+1</x:f>
        <x:v>46329</x:v>
      </x:c>
      <x:c r="AB10" s="53" t="n">
        <x:f t="shared" si="2">AA10+1</x:f>
        <x:v>46330</x:v>
      </x:c>
      <x:c r="AC10" s="53" t="n">
        <x:f t="shared" si="2">AB10+1</x:f>
        <x:v>46331</x:v>
      </x:c>
      <x:c r="AD10" s="53" t="n">
        <x:f t="shared" si="2">AC10+1</x:f>
        <x:v>46332</x:v>
      </x:c>
      <x:c r="AE10" s="53" t="n">
        <x:f t="shared" si="2">AD10+1</x:f>
        <x:v>46333</x:v>
      </x:c>
      <x:c r="AF10" s="53" t="n">
        <x:f t="shared" si="2">AE10+1</x:f>
        <x:v>46334</x:v>
      </x:c>
      <x:c r="AG10" s="53" t="n">
        <x:f t="shared" si="2">AF10+1</x:f>
        <x:v>46335</x:v>
      </x:c>
      <x:c r="AH10" s="53" t="n">
        <x:f t="shared" si="2">AG10+1</x:f>
        <x:v>46336</x:v>
      </x:c>
      <x:c r="AI10" s="53" t="n">
        <x:f t="shared" si="2">AH10+1</x:f>
        <x:v>46337</x:v>
      </x:c>
      <x:c r="AJ10" s="53" t="n">
        <x:f t="shared" si="2">AI10+1</x:f>
        <x:v>46338</x:v>
      </x:c>
      <x:c r="AK10" s="53" t="n">
        <x:f t="shared" si="2">AJ10+1</x:f>
        <x:v>46339</x:v>
      </x:c>
      <x:c r="AL10" s="53" t="n">
        <x:f t="shared" si="2">AK10+1</x:f>
        <x:v>46340</x:v>
      </x:c>
      <x:c r="AM10" s="53" t="n">
        <x:f t="shared" si="2">AL10+1</x:f>
        <x:v>46341</x:v>
      </x:c>
      <x:c r="AN10" s="53" t="n">
        <x:f t="shared" si="2">AM10+1</x:f>
        <x:v>46342</x:v>
      </x:c>
      <x:c r="AO10" s="53" t="n">
        <x:f t="shared" si="2">AN10+1</x:f>
        <x:v>46343</x:v>
      </x:c>
      <x:c r="AP10" s="53" t="n">
        <x:f t="shared" si="2">AO10+1</x:f>
        <x:v>46344</x:v>
      </x:c>
      <x:c r="AQ10" s="53" t="n">
        <x:f t="shared" si="2">AP10+1</x:f>
        <x:v>46345</x:v>
      </x:c>
      <x:c r="AR10" s="53" t="n">
        <x:f t="shared" si="2">AQ10+1</x:f>
        <x:v>46346</x:v>
      </x:c>
      <x:c r="AS10" s="53" t="n">
        <x:f t="shared" si="2">AR10+1</x:f>
        <x:v>46347</x:v>
      </x:c>
      <x:c r="AT10" s="54" t="n">
        <x:f t="shared" si="2">AS10+1</x:f>
        <x:v>46348</x:v>
      </x:c>
      <x:c r="AU10" s="54" t="n">
        <x:f t="shared" si="2">AT10+1</x:f>
        <x:v>46349</x:v>
      </x:c>
      <x:c r="AV10" s="54" t="n">
        <x:f t="shared" si="2">AU10+1</x:f>
        <x:v>46350</x:v>
      </x:c>
      <x:c r="AW10" s="53" t="n">
        <x:f>AV10+1</x:f>
        <x:v>46351</x:v>
      </x:c>
      <x:c r="AX10" s="53" t="n">
        <x:f>AW10+1</x:f>
        <x:v>46352</x:v>
      </x:c>
      <x:c r="AY10" s="53" t="n">
        <x:f>AX10+1</x:f>
        <x:v>46353</x:v>
      </x:c>
      <x:c r="AZ10" s="53" t="n">
        <x:f>AY10+1</x:f>
        <x:v>46354</x:v>
      </x:c>
      <x:c r="BA10" s="53" t="n">
        <x:f>AZ10+1</x:f>
        <x:v>46355</x:v>
      </x:c>
      <x:c r="BB10" s="53" t="n">
        <x:f>BA10+1</x:f>
        <x:v>46356</x:v>
      </x:c>
      <x:c r="BC10" s="53" t="n">
        <x:f>BB10+1</x:f>
        <x:v>46357</x:v>
      </x:c>
      <x:c r="BD10" s="53" t="n">
        <x:f>BC10+1</x:f>
        <x:v>46358</x:v>
      </x:c>
      <x:c r="BE10" s="53" t="n">
        <x:f>BD10+1</x:f>
        <x:v>46359</x:v>
      </x:c>
      <x:c r="BF10" s="53" t="n">
        <x:f>BE10+1</x:f>
        <x:v>46360</x:v>
      </x:c>
      <x:c r="BG10" s="53" t="n">
        <x:f>BF10+1</x:f>
        <x:v>46361</x:v>
      </x:c>
      <x:c r="BH10" s="54" t="n">
        <x:f>BG10+1</x:f>
        <x:v>46362</x:v>
      </x:c>
      <x:c r="BI10" s="54" t="n">
        <x:f>BH10+1</x:f>
        <x:v>46363</x:v>
      </x:c>
      <x:c r="BJ10" s="54" t="n">
        <x:f>BI10+1</x:f>
        <x:v>46364</x:v>
      </x:c>
    </x:row>
    <x:row r="11" ht="26" customHeight="1">
      <x:c r="A11" s="2"/>
      <x:c r="B11" s="884" t="str">
        <x:v>WBS-1</x:v>
      </x:c>
      <x:c r="C11" s="885" t="str">
        <x:v>착수·주제 검토·요구사항 확정</x:v>
      </x:c>
      <x:c r="D11" s="886" t="str">
        <x:v>김태윤</x:v>
      </x:c>
      <x:c r="E11" s="887" t="n">
        <x:f>MIN(E12:E23)</x:f>
        <x:v>46311</x:v>
      </x:c>
      <x:c r="F11" s="887" t="n">
        <x:f>MAX(F12:F23)</x:f>
        <x:v>46322</x:v>
      </x:c>
      <x:c r="G11" s="888" t="n">
        <x:f>COUNTIFS($I$10:$BJ$10,"&gt;="&amp;E11,$I$10:$BJ$10,"&lt;="&amp;F11)</x:f>
        <x:v>12</x:v>
      </x:c>
      <x:c r="H11" s="928" t="str">
        <x:f>IF(COUNTIFS(H12:H23,"날짜 확인")&gt;0,"날짜 확인",IF(COUNTIFS(H12:H23,"보류")=ROWS(H12:H23),"보류",IF(COUNTIFS(H12:H23,"완료")=ROWS(H12:H23)-COUNTIFS(H12:H23,"보류"),"완료",IF(COUNTIFS(H12:H23,"진행 중")+COUNTIFS(H12:H23,"완료")&gt;0,"진행 중","시작 전"))))</x:f>
        <x:v>진행 중</x:v>
      </x:c>
      <x:c r="I11" s="883"/>
      <x:c r="J11" s="883"/>
      <x:c r="K11" s="883"/>
      <x:c r="L11" s="883"/>
      <x:c r="M11" s="883"/>
      <x:c r="N11" s="883"/>
      <x:c r="O11" s="883"/>
      <x:c r="P11" s="883"/>
      <x:c r="Q11" s="883"/>
      <x:c r="R11" s="883"/>
      <x:c r="S11" s="883"/>
      <x:c r="T11" s="883"/>
      <x:c r="U11" s="883"/>
      <x:c r="V11" s="883"/>
      <x:c r="W11" s="883"/>
      <x:c r="X11" s="883"/>
      <x:c r="Y11" s="883"/>
      <x:c r="Z11" s="883"/>
      <x:c r="AA11" s="883"/>
      <x:c r="AB11" s="883"/>
      <x:c r="AC11" s="883"/>
      <x:c r="AD11" s="883"/>
      <x:c r="AE11" s="883"/>
      <x:c r="AF11" s="883"/>
      <x:c r="AG11" s="883"/>
      <x:c r="AH11" s="883"/>
      <x:c r="AI11" s="883"/>
      <x:c r="AJ11" s="883"/>
      <x:c r="AK11" s="883"/>
      <x:c r="AL11" s="883"/>
      <x:c r="AM11" s="883"/>
      <x:c r="AN11" s="883"/>
      <x:c r="AO11" s="883"/>
      <x:c r="AP11" s="883"/>
      <x:c r="AQ11" s="883"/>
      <x:c r="AR11" s="883"/>
      <x:c r="AS11" s="883"/>
      <x:c r="AT11" s="883"/>
      <x:c r="AU11" s="883"/>
      <x:c r="AV11" s="883"/>
      <x:c r="AW11" s="883"/>
      <x:c r="AX11" s="883"/>
      <x:c r="AY11" s="883"/>
      <x:c r="AZ11" s="883"/>
      <x:c r="BA11" s="883"/>
      <x:c r="BB11" s="883"/>
      <x:c r="BC11" s="883"/>
      <x:c r="BD11" s="883"/>
      <x:c r="BE11" s="883"/>
      <x:c r="BF11" s="883"/>
      <x:c r="BG11" s="883"/>
      <x:c r="BH11" s="883"/>
      <x:c r="BI11" s="883"/>
      <x:c r="BJ11" s="883"/>
    </x:row>
    <x:row r="12" ht="42" customHeight="1">
      <x:c r="A12" s="2"/>
      <x:c r="B12" s="820" t="str">
        <x:v>WBS-1.1</x:v>
      </x:c>
      <x:c r="C12" s="821" t="str">
        <x:f>'작업 상세'!C8</x:f>
        <x:v>초기 주제 발굴·기획안 작성</x:v>
      </x:c>
      <x:c r="D12" s="837" t="str">
        <x:v>김태윤</x:v>
      </x:c>
      <x:c r="E12" s="838" t="n">
        <x:v>46311</x:v>
      </x:c>
      <x:c r="F12" s="838" t="n">
        <x:v>46318</x:v>
      </x:c>
      <x:c r="G12" s="824" t="n">
        <x:f t="shared" ref="G12:G23" si="4">IF(OR(E12="",F12=""),"",IF(F12&lt;E12,"기간 확인",COUNTIFS($I$10:$BJ$10,"&gt;="&amp;E12,$I$10:$BJ$10,"&lt;="&amp;F12)))</x:f>
        <x:v>8</x:v>
      </x:c>
      <x:c r="H12" s="929" t="str">
        <x:f>IF(OR(NOT(ISNUMBER(E12)),NOT(ISNUMBER(F12)),F12&lt;E12),"날짜 확인",IF(TODAY()&lt;E12,"시작 전",IF(TODAY()&lt;=F12,"진행 중","완료")))</x:f>
        <x:v>완료</x:v>
      </x:c>
      <x:c r="I12" s="826"/>
      <x:c r="J12" s="826"/>
      <x:c r="K12" s="826"/>
      <x:c r="L12" s="826"/>
      <x:c r="M12" s="826"/>
      <x:c r="N12" s="826"/>
      <x:c r="O12" s="826"/>
      <x:c r="P12" s="826"/>
      <x:c r="Q12" s="826"/>
      <x:c r="R12" s="826"/>
      <x:c r="S12" s="826"/>
      <x:c r="T12" s="826"/>
      <x:c r="U12" s="826"/>
      <x:c r="V12" s="826"/>
      <x:c r="W12" s="826"/>
      <x:c r="X12" s="826"/>
      <x:c r="Y12" s="826"/>
      <x:c r="Z12" s="826"/>
      <x:c r="AA12" s="826"/>
      <x:c r="AB12" s="826"/>
      <x:c r="AC12" s="826"/>
      <x:c r="AD12" s="826"/>
      <x:c r="AE12" s="826"/>
      <x:c r="AF12" s="826"/>
      <x:c r="AG12" s="826"/>
      <x:c r="AH12" s="826"/>
      <x:c r="AI12" s="826"/>
      <x:c r="AJ12" s="826"/>
      <x:c r="AK12" s="826"/>
      <x:c r="AL12" s="826"/>
      <x:c r="AM12" s="826"/>
      <x:c r="AN12" s="826"/>
      <x:c r="AO12" s="826"/>
      <x:c r="AP12" s="826"/>
      <x:c r="AQ12" s="826"/>
      <x:c r="AR12" s="826"/>
      <x:c r="AS12" s="826"/>
      <x:c r="AT12" s="826"/>
      <x:c r="AU12" s="826"/>
      <x:c r="AV12" s="826"/>
      <x:c r="AW12" s="826"/>
      <x:c r="AX12" s="826"/>
      <x:c r="AY12" s="826"/>
      <x:c r="AZ12" s="826"/>
      <x:c r="BA12" s="826"/>
      <x:c r="BB12" s="826"/>
      <x:c r="BC12" s="826"/>
      <x:c r="BD12" s="826"/>
      <x:c r="BE12" s="826"/>
      <x:c r="BF12" s="826"/>
      <x:c r="BG12" s="826"/>
      <x:c r="BH12" s="826"/>
      <x:c r="BI12" s="826"/>
      <x:c r="BJ12" s="826"/>
    </x:row>
    <x:row r="13" ht="42" customHeight="1">
      <x:c r="A13" s="2"/>
      <x:c r="B13" s="820" t="str">
        <x:v>WBS-1.2</x:v>
      </x:c>
      <x:c r="C13" s="821" t="str">
        <x:f>'작업 상세'!C9</x:f>
        <x:v>후보 MVP 제작·데이터·경쟁 조사</x:v>
      </x:c>
      <x:c r="D13" s="837" t="str">
        <x:v>김태윤</x:v>
      </x:c>
      <x:c r="E13" s="838" t="n">
        <x:v>46312</x:v>
      </x:c>
      <x:c r="F13" s="838" t="n">
        <x:v>46313</x:v>
      </x:c>
      <x:c r="G13" s="824" t="n">
        <x:f t="shared" si="4">IF(OR(E13="",F13=""),"",IF(F13&lt;E13,"기간 확인",COUNTIFS($I$10:$BJ$10,"&gt;="&amp;E13,$I$10:$BJ$10,"&lt;="&amp;F13)))</x:f>
        <x:v>2</x:v>
      </x:c>
      <x:c r="H13" s="929" t="str">
        <x:f>IF(OR(NOT(ISNUMBER(E13)),NOT(ISNUMBER(F13)),F13&lt;E13),"날짜 확인",IF(TODAY()&lt;E13,"시작 전",IF(TODAY()&lt;=F13,"진행 중","완료")))</x:f>
        <x:v>완료</x:v>
      </x:c>
      <x:c r="I13" s="826"/>
      <x:c r="J13" s="826"/>
      <x:c r="K13" s="826"/>
      <x:c r="L13" s="826"/>
      <x:c r="M13" s="826"/>
      <x:c r="N13" s="826"/>
      <x:c r="O13" s="826"/>
      <x:c r="P13" s="826"/>
      <x:c r="Q13" s="826"/>
      <x:c r="R13" s="826"/>
      <x:c r="S13" s="826"/>
      <x:c r="T13" s="826"/>
      <x:c r="U13" s="826"/>
      <x:c r="V13" s="826"/>
      <x:c r="W13" s="826"/>
      <x:c r="X13" s="826"/>
      <x:c r="Y13" s="826"/>
      <x:c r="Z13" s="826"/>
      <x:c r="AA13" s="826"/>
      <x:c r="AB13" s="826"/>
      <x:c r="AC13" s="826"/>
      <x:c r="AD13" s="826"/>
      <x:c r="AE13" s="826"/>
      <x:c r="AF13" s="826"/>
      <x:c r="AG13" s="826"/>
      <x:c r="AH13" s="826"/>
      <x:c r="AI13" s="826"/>
      <x:c r="AJ13" s="826"/>
      <x:c r="AK13" s="826"/>
      <x:c r="AL13" s="826"/>
      <x:c r="AM13" s="826"/>
      <x:c r="AN13" s="826"/>
      <x:c r="AO13" s="826"/>
      <x:c r="AP13" s="826"/>
      <x:c r="AQ13" s="826"/>
      <x:c r="AR13" s="826"/>
      <x:c r="AS13" s="826"/>
      <x:c r="AT13" s="826"/>
      <x:c r="AU13" s="826"/>
      <x:c r="AV13" s="826"/>
      <x:c r="AW13" s="826"/>
      <x:c r="AX13" s="826"/>
      <x:c r="AY13" s="826"/>
      <x:c r="AZ13" s="826"/>
      <x:c r="BA13" s="826"/>
      <x:c r="BB13" s="826"/>
      <x:c r="BC13" s="826"/>
      <x:c r="BD13" s="826"/>
      <x:c r="BE13" s="826"/>
      <x:c r="BF13" s="826"/>
      <x:c r="BG13" s="826"/>
      <x:c r="BH13" s="826"/>
      <x:c r="BI13" s="826"/>
      <x:c r="BJ13" s="826"/>
    </x:row>
    <x:row r="14" ht="42" customHeight="1">
      <x:c r="A14" s="2"/>
      <x:c r="B14" s="820" t="str">
        <x:v>WBS-1.3</x:v>
      </x:c>
      <x:c r="C14" s="821" t="str">
        <x:f>'작업 상세'!C10</x:f>
        <x:v>후보 비교·교육 서비스 차별화 검토</x:v>
      </x:c>
      <x:c r="D14" s="837" t="str">
        <x:v>김태윤</x:v>
      </x:c>
      <x:c r="E14" s="838" t="n">
        <x:v>46314</x:v>
      </x:c>
      <x:c r="F14" s="838" t="n">
        <x:v>46318</x:v>
      </x:c>
      <x:c r="G14" s="824" t="n">
        <x:f t="shared" si="4">IF(OR(E14="",F14=""),"",IF(F14&lt;E14,"기간 확인",COUNTIFS($I$10:$BJ$10,"&gt;="&amp;E14,$I$10:$BJ$10,"&lt;="&amp;F14)))</x:f>
        <x:v>5</x:v>
      </x:c>
      <x:c r="H14" s="929" t="str">
        <x:f>IF(OR(NOT(ISNUMBER(E14)),NOT(ISNUMBER(F14)),F14&lt;E14),"날짜 확인",IF(TODAY()&lt;E14,"시작 전",IF(TODAY()&lt;=F14,"진행 중","완료")))</x:f>
        <x:v>완료</x:v>
      </x:c>
      <x:c r="I14" s="826"/>
      <x:c r="J14" s="826"/>
      <x:c r="K14" s="826"/>
      <x:c r="L14" s="826"/>
      <x:c r="M14" s="826"/>
      <x:c r="N14" s="826"/>
      <x:c r="O14" s="826"/>
      <x:c r="P14" s="826"/>
      <x:c r="Q14" s="826"/>
      <x:c r="R14" s="826"/>
      <x:c r="S14" s="826"/>
      <x:c r="T14" s="826"/>
      <x:c r="U14" s="826"/>
      <x:c r="V14" s="826"/>
      <x:c r="W14" s="826"/>
      <x:c r="X14" s="826"/>
      <x:c r="Y14" s="826"/>
      <x:c r="Z14" s="826"/>
      <x:c r="AA14" s="826"/>
      <x:c r="AB14" s="826"/>
      <x:c r="AC14" s="826"/>
      <x:c r="AD14" s="826"/>
      <x:c r="AE14" s="826"/>
      <x:c r="AF14" s="826"/>
      <x:c r="AG14" s="826"/>
      <x:c r="AH14" s="826"/>
      <x:c r="AI14" s="826"/>
      <x:c r="AJ14" s="826"/>
      <x:c r="AK14" s="826"/>
      <x:c r="AL14" s="826"/>
      <x:c r="AM14" s="826"/>
      <x:c r="AN14" s="826"/>
      <x:c r="AO14" s="826"/>
      <x:c r="AP14" s="826"/>
      <x:c r="AQ14" s="826"/>
      <x:c r="AR14" s="826"/>
      <x:c r="AS14" s="826"/>
      <x:c r="AT14" s="826"/>
      <x:c r="AU14" s="826"/>
      <x:c r="AV14" s="826"/>
      <x:c r="AW14" s="826"/>
      <x:c r="AX14" s="826"/>
      <x:c r="AY14" s="826"/>
      <x:c r="AZ14" s="826"/>
      <x:c r="BA14" s="826"/>
      <x:c r="BB14" s="826"/>
      <x:c r="BC14" s="826"/>
      <x:c r="BD14" s="826"/>
      <x:c r="BE14" s="826"/>
      <x:c r="BF14" s="826"/>
      <x:c r="BG14" s="826"/>
      <x:c r="BH14" s="826"/>
      <x:c r="BI14" s="826"/>
      <x:c r="BJ14" s="826"/>
    </x:row>
    <x:row r="15" ht="42" customHeight="1">
      <x:c r="A15" s="2"/>
      <x:c r="B15" s="820" t="str">
        <x:v>WBS-1.4</x:v>
      </x:c>
      <x:c r="C15" s="821" t="str">
        <x:f>'작업 상세'!C11</x:f>
        <x:v>교육 MVP·기존 산출물 현황 정리</x:v>
      </x:c>
      <x:c r="D15" s="837" t="str">
        <x:v>김태윤</x:v>
      </x:c>
      <x:c r="E15" s="838" t="n">
        <x:v>46316</x:v>
      </x:c>
      <x:c r="F15" s="838" t="n">
        <x:v>46317</x:v>
      </x:c>
      <x:c r="G15" s="824" t="n">
        <x:f t="shared" si="4">IF(OR(E15="",F15=""),"",IF(F15&lt;E15,"기간 확인",COUNTIFS($I$10:$BJ$10,"&gt;="&amp;E15,$I$10:$BJ$10,"&lt;="&amp;F15)))</x:f>
        <x:v>2</x:v>
      </x:c>
      <x:c r="H15" s="929" t="str">
        <x:f>IF(OR(NOT(ISNUMBER(E15)),NOT(ISNUMBER(F15)),F15&lt;E15),"날짜 확인",IF(TODAY()&lt;E15,"시작 전",IF(TODAY()&lt;=F15,"진행 중","완료")))</x:f>
        <x:v>완료</x:v>
      </x:c>
      <x:c r="I15" s="826"/>
      <x:c r="J15" s="826"/>
      <x:c r="K15" s="826"/>
      <x:c r="L15" s="826"/>
      <x:c r="M15" s="826"/>
      <x:c r="N15" s="826"/>
      <x:c r="O15" s="826"/>
      <x:c r="P15" s="826"/>
      <x:c r="Q15" s="826"/>
      <x:c r="R15" s="826"/>
      <x:c r="S15" s="826"/>
      <x:c r="T15" s="826"/>
      <x:c r="U15" s="826"/>
      <x:c r="V15" s="826"/>
      <x:c r="W15" s="826"/>
      <x:c r="X15" s="826"/>
      <x:c r="Y15" s="826"/>
      <x:c r="Z15" s="826"/>
      <x:c r="AA15" s="826"/>
      <x:c r="AB15" s="826"/>
      <x:c r="AC15" s="826"/>
      <x:c r="AD15" s="826"/>
      <x:c r="AE15" s="826"/>
      <x:c r="AF15" s="826"/>
      <x:c r="AG15" s="826"/>
      <x:c r="AH15" s="826"/>
      <x:c r="AI15" s="826"/>
      <x:c r="AJ15" s="826"/>
      <x:c r="AK15" s="826"/>
      <x:c r="AL15" s="826"/>
      <x:c r="AM15" s="826"/>
      <x:c r="AN15" s="826"/>
      <x:c r="AO15" s="826"/>
      <x:c r="AP15" s="826"/>
      <x:c r="AQ15" s="826"/>
      <x:c r="AR15" s="826"/>
      <x:c r="AS15" s="826"/>
      <x:c r="AT15" s="826"/>
      <x:c r="AU15" s="826"/>
      <x:c r="AV15" s="826"/>
      <x:c r="AW15" s="826"/>
      <x:c r="AX15" s="826"/>
      <x:c r="AY15" s="826"/>
      <x:c r="AZ15" s="826"/>
      <x:c r="BA15" s="826"/>
      <x:c r="BB15" s="826"/>
      <x:c r="BC15" s="826"/>
      <x:c r="BD15" s="826"/>
      <x:c r="BE15" s="826"/>
      <x:c r="BF15" s="826"/>
      <x:c r="BG15" s="826"/>
      <x:c r="BH15" s="826"/>
      <x:c r="BI15" s="826"/>
      <x:c r="BJ15" s="826"/>
    </x:row>
    <x:row r="16" ht="42" customHeight="1">
      <x:c r="A16" s="2"/>
      <x:c r="B16" s="820" t="str">
        <x:v>WBS-1.5</x:v>
      </x:c>
      <x:c r="C16" s="821" t="str">
        <x:f>'작업 상세'!C12</x:f>
        <x:v>멘토링 피드백·후속 과제 정리</x:v>
      </x:c>
      <x:c r="D16" s="837" t="str">
        <x:v>김태윤</x:v>
      </x:c>
      <x:c r="E16" s="838" t="n">
        <x:v>46316</x:v>
      </x:c>
      <x:c r="F16" s="838" t="n">
        <x:v>46316</x:v>
      </x:c>
      <x:c r="G16" s="824" t="n">
        <x:f t="shared" si="4">IF(OR(E16="",F16=""),"",IF(F16&lt;E16,"기간 확인",COUNTIFS($I$10:$BJ$10,"&gt;="&amp;E16,$I$10:$BJ$10,"&lt;="&amp;F16)))</x:f>
        <x:v>1</x:v>
      </x:c>
      <x:c r="H16" s="929" t="str">
        <x:f>IF(OR(NOT(ISNUMBER(E16)),NOT(ISNUMBER(F16)),F16&lt;E16),"날짜 확인",IF(TODAY()&lt;E16,"시작 전",IF(TODAY()&lt;=F16,"진행 중","완료")))</x:f>
        <x:v>완료</x:v>
      </x:c>
      <x:c r="I16" s="826"/>
      <x:c r="J16" s="826"/>
      <x:c r="K16" s="826"/>
      <x:c r="L16" s="826"/>
      <x:c r="M16" s="826"/>
      <x:c r="N16" s="826"/>
      <x:c r="O16" s="826"/>
      <x:c r="P16" s="826"/>
      <x:c r="Q16" s="826"/>
      <x:c r="R16" s="826"/>
      <x:c r="S16" s="826"/>
      <x:c r="T16" s="826"/>
      <x:c r="U16" s="826"/>
      <x:c r="V16" s="826"/>
      <x:c r="W16" s="826"/>
      <x:c r="X16" s="826"/>
      <x:c r="Y16" s="826"/>
      <x:c r="Z16" s="826"/>
      <x:c r="AA16" s="826"/>
      <x:c r="AB16" s="826"/>
      <x:c r="AC16" s="826"/>
      <x:c r="AD16" s="826"/>
      <x:c r="AE16" s="826"/>
      <x:c r="AF16" s="826"/>
      <x:c r="AG16" s="826"/>
      <x:c r="AH16" s="826"/>
      <x:c r="AI16" s="826"/>
      <x:c r="AJ16" s="826"/>
      <x:c r="AK16" s="826"/>
      <x:c r="AL16" s="826"/>
      <x:c r="AM16" s="826"/>
      <x:c r="AN16" s="826"/>
      <x:c r="AO16" s="826"/>
      <x:c r="AP16" s="826"/>
      <x:c r="AQ16" s="826"/>
      <x:c r="AR16" s="826"/>
      <x:c r="AS16" s="826"/>
      <x:c r="AT16" s="826"/>
      <x:c r="AU16" s="826"/>
      <x:c r="AV16" s="826"/>
      <x:c r="AW16" s="826"/>
      <x:c r="AX16" s="826"/>
      <x:c r="AY16" s="826"/>
      <x:c r="AZ16" s="826"/>
      <x:c r="BA16" s="826"/>
      <x:c r="BB16" s="826"/>
      <x:c r="BC16" s="826"/>
      <x:c r="BD16" s="826"/>
      <x:c r="BE16" s="826"/>
      <x:c r="BF16" s="826"/>
      <x:c r="BG16" s="826"/>
      <x:c r="BH16" s="826"/>
      <x:c r="BI16" s="826"/>
      <x:c r="BJ16" s="826"/>
    </x:row>
    <x:row r="17" ht="42" customHeight="1">
      <x:c r="A17" s="2"/>
      <x:c r="B17" s="820" t="str">
        <x:v>WBS-1.6</x:v>
      </x:c>
      <x:c r="C17" s="821" t="str">
        <x:f>'작업 상세'!C13</x:f>
        <x:v>교육 데이터·성취기준 확보 검토</x:v>
      </x:c>
      <x:c r="D17" s="837" t="str">
        <x:v>김동섭</x:v>
      </x:c>
      <x:c r="E17" s="838" t="n">
        <x:v>46316</x:v>
      </x:c>
      <x:c r="F17" s="838" t="n">
        <x:v>46318</x:v>
      </x:c>
      <x:c r="G17" s="824" t="n">
        <x:f t="shared" si="4">IF(OR(E17="",F17=""),"",IF(F17&lt;E17,"기간 확인",COUNTIFS($I$10:$BJ$10,"&gt;="&amp;E17,$I$10:$BJ$10,"&lt;="&amp;F17)))</x:f>
        <x:v>3</x:v>
      </x:c>
      <x:c r="H17" s="929" t="str">
        <x:f>IF(OR(NOT(ISNUMBER(E17)),NOT(ISNUMBER(F17)),F17&lt;E17),"날짜 확인",IF(TODAY()&lt;E17,"시작 전",IF(TODAY()&lt;=F17,"진행 중","완료")))</x:f>
        <x:v>완료</x:v>
      </x:c>
      <x:c r="I17" s="826"/>
      <x:c r="J17" s="826"/>
      <x:c r="K17" s="826"/>
      <x:c r="L17" s="826"/>
      <x:c r="M17" s="826"/>
      <x:c r="N17" s="826"/>
      <x:c r="O17" s="826"/>
      <x:c r="P17" s="826"/>
      <x:c r="Q17" s="826"/>
      <x:c r="R17" s="826"/>
      <x:c r="S17" s="826"/>
      <x:c r="T17" s="826"/>
      <x:c r="U17" s="826"/>
      <x:c r="V17" s="826"/>
      <x:c r="W17" s="826"/>
      <x:c r="X17" s="826"/>
      <x:c r="Y17" s="826"/>
      <x:c r="Z17" s="826"/>
      <x:c r="AA17" s="826"/>
      <x:c r="AB17" s="826"/>
      <x:c r="AC17" s="826"/>
      <x:c r="AD17" s="826"/>
      <x:c r="AE17" s="826"/>
      <x:c r="AF17" s="826"/>
      <x:c r="AG17" s="826"/>
      <x:c r="AH17" s="826"/>
      <x:c r="AI17" s="826"/>
      <x:c r="AJ17" s="826"/>
      <x:c r="AK17" s="826"/>
      <x:c r="AL17" s="826"/>
      <x:c r="AM17" s="826"/>
      <x:c r="AN17" s="826"/>
      <x:c r="AO17" s="826"/>
      <x:c r="AP17" s="826"/>
      <x:c r="AQ17" s="826"/>
      <x:c r="AR17" s="826"/>
      <x:c r="AS17" s="826"/>
      <x:c r="AT17" s="826"/>
      <x:c r="AU17" s="826"/>
      <x:c r="AV17" s="826"/>
      <x:c r="AW17" s="826"/>
      <x:c r="AX17" s="826"/>
      <x:c r="AY17" s="826"/>
      <x:c r="AZ17" s="826"/>
      <x:c r="BA17" s="826"/>
      <x:c r="BB17" s="826"/>
      <x:c r="BC17" s="826"/>
      <x:c r="BD17" s="826"/>
      <x:c r="BE17" s="826"/>
      <x:c r="BF17" s="826"/>
      <x:c r="BG17" s="826"/>
      <x:c r="BH17" s="826"/>
      <x:c r="BI17" s="826"/>
      <x:c r="BJ17" s="826"/>
    </x:row>
    <x:row r="18" ht="42" customHeight="1">
      <x:c r="A18" s="2"/>
      <x:c r="B18" s="820" t="str">
        <x:v>WBS-1.7</x:v>
      </x:c>
      <x:c r="C18" s="821" t="str">
        <x:f>'작업 상세'!C14</x:f>
        <x:v>기획서·요구사항·WBS 초안 정리</x:v>
      </x:c>
      <x:c r="D18" s="837" t="str">
        <x:v>김태윤</x:v>
      </x:c>
      <x:c r="E18" s="838" t="n">
        <x:v>46318</x:v>
      </x:c>
      <x:c r="F18" s="838" t="n">
        <x:v>46318</x:v>
      </x:c>
      <x:c r="G18" s="824" t="n">
        <x:f t="shared" si="4">IF(OR(E18="",F18=""),"",IF(F18&lt;E18,"기간 확인",COUNTIFS($I$10:$BJ$10,"&gt;="&amp;E18,$I$10:$BJ$10,"&lt;="&amp;F18)))</x:f>
        <x:v>1</x:v>
      </x:c>
      <x:c r="H18" s="929" t="str">
        <x:f>IF(OR(NOT(ISNUMBER(E18)),NOT(ISNUMBER(F18)),F18&lt;E18),"날짜 확인",IF(TODAY()&lt;E18,"시작 전",IF(TODAY()&lt;=F18,"진행 중","완료")))</x:f>
        <x:v>완료</x:v>
      </x:c>
      <x:c r="I18" s="826"/>
      <x:c r="J18" s="826"/>
      <x:c r="K18" s="826"/>
      <x:c r="L18" s="826"/>
      <x:c r="M18" s="826"/>
      <x:c r="N18" s="826"/>
      <x:c r="O18" s="826"/>
      <x:c r="P18" s="826"/>
      <x:c r="Q18" s="826"/>
      <x:c r="R18" s="826"/>
      <x:c r="S18" s="826"/>
      <x:c r="T18" s="826"/>
      <x:c r="U18" s="826"/>
      <x:c r="V18" s="826"/>
      <x:c r="W18" s="826"/>
      <x:c r="X18" s="826"/>
      <x:c r="Y18" s="826"/>
      <x:c r="Z18" s="826"/>
      <x:c r="AA18" s="826"/>
      <x:c r="AB18" s="826"/>
      <x:c r="AC18" s="826"/>
      <x:c r="AD18" s="826"/>
      <x:c r="AE18" s="826"/>
      <x:c r="AF18" s="826"/>
      <x:c r="AG18" s="826"/>
      <x:c r="AH18" s="826"/>
      <x:c r="AI18" s="826"/>
      <x:c r="AJ18" s="826"/>
      <x:c r="AK18" s="826"/>
      <x:c r="AL18" s="826"/>
      <x:c r="AM18" s="826"/>
      <x:c r="AN18" s="826"/>
      <x:c r="AO18" s="826"/>
      <x:c r="AP18" s="826"/>
      <x:c r="AQ18" s="826"/>
      <x:c r="AR18" s="826"/>
      <x:c r="AS18" s="826"/>
      <x:c r="AT18" s="826"/>
      <x:c r="AU18" s="826"/>
      <x:c r="AV18" s="826"/>
      <x:c r="AW18" s="826"/>
      <x:c r="AX18" s="826"/>
      <x:c r="AY18" s="826"/>
      <x:c r="AZ18" s="826"/>
      <x:c r="BA18" s="826"/>
      <x:c r="BB18" s="826"/>
      <x:c r="BC18" s="826"/>
      <x:c r="BD18" s="826"/>
      <x:c r="BE18" s="826"/>
      <x:c r="BF18" s="826"/>
      <x:c r="BG18" s="826"/>
      <x:c r="BH18" s="826"/>
      <x:c r="BI18" s="826"/>
      <x:c r="BJ18" s="826"/>
    </x:row>
    <x:row r="19" ht="42" customHeight="1">
      <x:c r="A19" s="2"/>
      <x:c r="B19" s="820" t="str">
        <x:v>WBS-1.8</x:v>
      </x:c>
      <x:c r="C19" s="821" t="str">
        <x:f>'작업 상세'!C15</x:f>
        <x:v>계정·자녀·기록 정책 결정</x:v>
      </x:c>
      <x:c r="D19" s="837" t="str">
        <x:v>최인영</x:v>
      </x:c>
      <x:c r="E19" s="838" t="n">
        <x:v>46321</x:v>
      </x:c>
      <x:c r="F19" s="838" t="n">
        <x:v>46322</x:v>
      </x:c>
      <x:c r="G19" s="824" t="n">
        <x:f t="shared" si="4">IF(OR(E19="",F19=""),"",IF(F19&lt;E19,"기간 확인",COUNTIFS($I$10:$BJ$10,"&gt;="&amp;E19,$I$10:$BJ$10,"&lt;="&amp;F19)))</x:f>
        <x:v>2</x:v>
      </x:c>
      <x:c r="H19" s="929" t="str">
        <x:f>IF(OR(NOT(ISNUMBER(E19)),NOT(ISNUMBER(F19)),F19&lt;E19),"날짜 확인",IF(TODAY()&lt;E19,"시작 전",IF(TODAY()&lt;=F19,"진행 중","완료")))</x:f>
        <x:v>진행 중</x:v>
      </x:c>
      <x:c r="I19" s="826"/>
      <x:c r="J19" s="826"/>
      <x:c r="K19" s="826"/>
      <x:c r="L19" s="826"/>
      <x:c r="M19" s="826"/>
      <x:c r="N19" s="826"/>
      <x:c r="O19" s="826"/>
      <x:c r="P19" s="826"/>
      <x:c r="Q19" s="826"/>
      <x:c r="R19" s="826"/>
      <x:c r="S19" s="826"/>
      <x:c r="T19" s="826"/>
      <x:c r="U19" s="826"/>
      <x:c r="V19" s="826"/>
      <x:c r="W19" s="826"/>
      <x:c r="X19" s="826"/>
      <x:c r="Y19" s="826"/>
      <x:c r="Z19" s="826"/>
      <x:c r="AA19" s="826"/>
      <x:c r="AB19" s="826"/>
      <x:c r="AC19" s="826"/>
      <x:c r="AD19" s="826"/>
      <x:c r="AE19" s="826"/>
      <x:c r="AF19" s="826"/>
      <x:c r="AG19" s="826"/>
      <x:c r="AH19" s="826"/>
      <x:c r="AI19" s="826"/>
      <x:c r="AJ19" s="826"/>
      <x:c r="AK19" s="826"/>
      <x:c r="AL19" s="826"/>
      <x:c r="AM19" s="826"/>
      <x:c r="AN19" s="826"/>
      <x:c r="AO19" s="826"/>
      <x:c r="AP19" s="826"/>
      <x:c r="AQ19" s="826"/>
      <x:c r="AR19" s="826"/>
      <x:c r="AS19" s="826"/>
      <x:c r="AT19" s="826"/>
      <x:c r="AU19" s="826"/>
      <x:c r="AV19" s="826"/>
      <x:c r="AW19" s="826"/>
      <x:c r="AX19" s="826"/>
      <x:c r="AY19" s="826"/>
      <x:c r="AZ19" s="826"/>
      <x:c r="BA19" s="826"/>
      <x:c r="BB19" s="826"/>
      <x:c r="BC19" s="826"/>
      <x:c r="BD19" s="826"/>
      <x:c r="BE19" s="826"/>
      <x:c r="BF19" s="826"/>
      <x:c r="BG19" s="826"/>
      <x:c r="BH19" s="826"/>
      <x:c r="BI19" s="826"/>
      <x:c r="BJ19" s="826"/>
    </x:row>
    <x:row r="20" ht="42" customHeight="1">
      <x:c r="A20" s="2"/>
      <x:c r="B20" s="820" t="str">
        <x:v>WBS-1.9</x:v>
      </x:c>
      <x:c r="C20" s="821" t="str">
        <x:f>'작업 상세'!C16</x:f>
        <x:v>학습·판정·집계와 확장 정책 결정</x:v>
      </x:c>
      <x:c r="D20" s="837" t="str">
        <x:v>최성욱</x:v>
      </x:c>
      <x:c r="E20" s="838" t="n">
        <x:v>46321</x:v>
      </x:c>
      <x:c r="F20" s="838" t="n">
        <x:v>46322</x:v>
      </x:c>
      <x:c r="G20" s="824" t="n">
        <x:f t="shared" si="4">IF(OR(E20="",F20=""),"",IF(F20&lt;E20,"기간 확인",COUNTIFS($I$10:$BJ$10,"&gt;="&amp;E20,$I$10:$BJ$10,"&lt;="&amp;F20)))</x:f>
        <x:v>2</x:v>
      </x:c>
      <x:c r="H20" s="929" t="str">
        <x:f>IF(OR(NOT(ISNUMBER(E20)),NOT(ISNUMBER(F20)),F20&lt;E20),"날짜 확인",IF(TODAY()&lt;E20,"시작 전",IF(TODAY()&lt;=F20,"진행 중","완료")))</x:f>
        <x:v>진행 중</x:v>
      </x:c>
      <x:c r="I20" s="826"/>
      <x:c r="J20" s="826"/>
      <x:c r="K20" s="826"/>
      <x:c r="L20" s="826"/>
      <x:c r="M20" s="826"/>
      <x:c r="N20" s="826"/>
      <x:c r="O20" s="826"/>
      <x:c r="P20" s="826"/>
      <x:c r="Q20" s="826"/>
      <x:c r="R20" s="826"/>
      <x:c r="S20" s="826"/>
      <x:c r="T20" s="826"/>
      <x:c r="U20" s="826"/>
      <x:c r="V20" s="826"/>
      <x:c r="W20" s="826"/>
      <x:c r="X20" s="826"/>
      <x:c r="Y20" s="826"/>
      <x:c r="Z20" s="826"/>
      <x:c r="AA20" s="826"/>
      <x:c r="AB20" s="826"/>
      <x:c r="AC20" s="826"/>
      <x:c r="AD20" s="826"/>
      <x:c r="AE20" s="826"/>
      <x:c r="AF20" s="826"/>
      <x:c r="AG20" s="826"/>
      <x:c r="AH20" s="826"/>
      <x:c r="AI20" s="826"/>
      <x:c r="AJ20" s="826"/>
      <x:c r="AK20" s="826"/>
      <x:c r="AL20" s="826"/>
      <x:c r="AM20" s="826"/>
      <x:c r="AN20" s="826"/>
      <x:c r="AO20" s="826"/>
      <x:c r="AP20" s="826"/>
      <x:c r="AQ20" s="826"/>
      <x:c r="AR20" s="826"/>
      <x:c r="AS20" s="826"/>
      <x:c r="AT20" s="826"/>
      <x:c r="AU20" s="826"/>
      <x:c r="AV20" s="826"/>
      <x:c r="AW20" s="826"/>
      <x:c r="AX20" s="826"/>
      <x:c r="AY20" s="826"/>
      <x:c r="AZ20" s="826"/>
      <x:c r="BA20" s="826"/>
      <x:c r="BB20" s="826"/>
      <x:c r="BC20" s="826"/>
      <x:c r="BD20" s="826"/>
      <x:c r="BE20" s="826"/>
      <x:c r="BF20" s="826"/>
      <x:c r="BG20" s="826"/>
      <x:c r="BH20" s="826"/>
      <x:c r="BI20" s="826"/>
      <x:c r="BJ20" s="826"/>
    </x:row>
    <x:row r="21" ht="42" customHeight="1">
      <x:c r="A21" s="2"/>
      <x:c r="B21" s="820" t="str">
        <x:v>WBS-1.10</x:v>
      </x:c>
      <x:c r="C21" s="821" t="str">
        <x:f>'작업 상세'!C17</x:f>
        <x:v>모델·평가 범위 결정</x:v>
      </x:c>
      <x:c r="D21" s="837" t="str">
        <x:v>김재현</x:v>
      </x:c>
      <x:c r="E21" s="838" t="n">
        <x:v>46321</x:v>
      </x:c>
      <x:c r="F21" s="838" t="n">
        <x:v>46322</x:v>
      </x:c>
      <x:c r="G21" s="824" t="n">
        <x:f t="shared" si="4">IF(OR(E21="",F21=""),"",IF(F21&lt;E21,"기간 확인",COUNTIFS($I$10:$BJ$10,"&gt;="&amp;E21,$I$10:$BJ$10,"&lt;="&amp;F21)))</x:f>
        <x:v>2</x:v>
      </x:c>
      <x:c r="H21" s="929" t="str">
        <x:f>IF(OR(NOT(ISNUMBER(E21)),NOT(ISNUMBER(F21)),F21&lt;E21),"날짜 확인",IF(TODAY()&lt;E21,"시작 전",IF(TODAY()&lt;=F21,"진행 중","완료")))</x:f>
        <x:v>진행 중</x:v>
      </x:c>
      <x:c r="I21" s="826"/>
      <x:c r="J21" s="826"/>
      <x:c r="K21" s="826"/>
      <x:c r="L21" s="826"/>
      <x:c r="M21" s="826"/>
      <x:c r="N21" s="826"/>
      <x:c r="O21" s="826"/>
      <x:c r="P21" s="826"/>
      <x:c r="Q21" s="826"/>
      <x:c r="R21" s="826"/>
      <x:c r="S21" s="826"/>
      <x:c r="T21" s="826"/>
      <x:c r="U21" s="826"/>
      <x:c r="V21" s="826"/>
      <x:c r="W21" s="826"/>
      <x:c r="X21" s="826"/>
      <x:c r="Y21" s="826"/>
      <x:c r="Z21" s="826"/>
      <x:c r="AA21" s="826"/>
      <x:c r="AB21" s="826"/>
      <x:c r="AC21" s="826"/>
      <x:c r="AD21" s="826"/>
      <x:c r="AE21" s="826"/>
      <x:c r="AF21" s="826"/>
      <x:c r="AG21" s="826"/>
      <x:c r="AH21" s="826"/>
      <x:c r="AI21" s="826"/>
      <x:c r="AJ21" s="826"/>
      <x:c r="AK21" s="826"/>
      <x:c r="AL21" s="826"/>
      <x:c r="AM21" s="826"/>
      <x:c r="AN21" s="826"/>
      <x:c r="AO21" s="826"/>
      <x:c r="AP21" s="826"/>
      <x:c r="AQ21" s="826"/>
      <x:c r="AR21" s="826"/>
      <x:c r="AS21" s="826"/>
      <x:c r="AT21" s="826"/>
      <x:c r="AU21" s="826"/>
      <x:c r="AV21" s="826"/>
      <x:c r="AW21" s="826"/>
      <x:c r="AX21" s="826"/>
      <x:c r="AY21" s="826"/>
      <x:c r="AZ21" s="826"/>
      <x:c r="BA21" s="826"/>
      <x:c r="BB21" s="826"/>
      <x:c r="BC21" s="826"/>
      <x:c r="BD21" s="826"/>
      <x:c r="BE21" s="826"/>
      <x:c r="BF21" s="826"/>
      <x:c r="BG21" s="826"/>
      <x:c r="BH21" s="826"/>
      <x:c r="BI21" s="826"/>
      <x:c r="BJ21" s="826"/>
    </x:row>
    <x:row r="22" ht="42" customHeight="1">
      <x:c r="A22" s="2"/>
      <x:c r="B22" s="820" t="str">
        <x:v>WBS-1.11</x:v>
      </x:c>
      <x:c r="C22" s="821" t="str">
        <x:f>'작업 상세'!C18</x:f>
        <x:v>운영·리포트·결제 정책 결정</x:v>
      </x:c>
      <x:c r="D22" s="837" t="str">
        <x:v>김태윤</x:v>
      </x:c>
      <x:c r="E22" s="838" t="n">
        <x:v>46321</x:v>
      </x:c>
      <x:c r="F22" s="838" t="n">
        <x:v>46322</x:v>
      </x:c>
      <x:c r="G22" s="824" t="n">
        <x:f t="shared" si="4">IF(OR(E22="",F22=""),"",IF(F22&lt;E22,"기간 확인",COUNTIFS($I$10:$BJ$10,"&gt;="&amp;E22,$I$10:$BJ$10,"&lt;="&amp;F22)))</x:f>
        <x:v>2</x:v>
      </x:c>
      <x:c r="H22" s="929" t="str">
        <x:f>IF(OR(NOT(ISNUMBER(E22)),NOT(ISNUMBER(F22)),F22&lt;E22),"날짜 확인",IF(TODAY()&lt;E22,"시작 전",IF(TODAY()&lt;=F22,"진행 중","완료")))</x:f>
        <x:v>진행 중</x:v>
      </x:c>
      <x:c r="I22" s="826"/>
      <x:c r="J22" s="826"/>
      <x:c r="K22" s="826"/>
      <x:c r="L22" s="826"/>
      <x:c r="M22" s="826"/>
      <x:c r="N22" s="826"/>
      <x:c r="O22" s="826"/>
      <x:c r="P22" s="826"/>
      <x:c r="Q22" s="826"/>
      <x:c r="R22" s="826"/>
      <x:c r="S22" s="826"/>
      <x:c r="T22" s="826"/>
      <x:c r="U22" s="826"/>
      <x:c r="V22" s="826"/>
      <x:c r="W22" s="826"/>
      <x:c r="X22" s="826"/>
      <x:c r="Y22" s="826"/>
      <x:c r="Z22" s="826"/>
      <x:c r="AA22" s="826"/>
      <x:c r="AB22" s="826"/>
      <x:c r="AC22" s="826"/>
      <x:c r="AD22" s="826"/>
      <x:c r="AE22" s="826"/>
      <x:c r="AF22" s="826"/>
      <x:c r="AG22" s="826"/>
      <x:c r="AH22" s="826"/>
      <x:c r="AI22" s="826"/>
      <x:c r="AJ22" s="826"/>
      <x:c r="AK22" s="826"/>
      <x:c r="AL22" s="826"/>
      <x:c r="AM22" s="826"/>
      <x:c r="AN22" s="826"/>
      <x:c r="AO22" s="826"/>
      <x:c r="AP22" s="826"/>
      <x:c r="AQ22" s="826"/>
      <x:c r="AR22" s="826"/>
      <x:c r="AS22" s="826"/>
      <x:c r="AT22" s="826"/>
      <x:c r="AU22" s="826"/>
      <x:c r="AV22" s="826"/>
      <x:c r="AW22" s="826"/>
      <x:c r="AX22" s="826"/>
      <x:c r="AY22" s="826"/>
      <x:c r="AZ22" s="826"/>
      <x:c r="BA22" s="826"/>
      <x:c r="BB22" s="826"/>
      <x:c r="BC22" s="826"/>
      <x:c r="BD22" s="826"/>
      <x:c r="BE22" s="826"/>
      <x:c r="BF22" s="826"/>
      <x:c r="BG22" s="826"/>
      <x:c r="BH22" s="826"/>
      <x:c r="BI22" s="826"/>
      <x:c r="BJ22" s="826"/>
    </x:row>
    <x:row r="23" ht="42" customHeight="1">
      <x:c r="A23" s="2"/>
      <x:c r="B23" s="820" t="str">
        <x:v>WBS-1.12</x:v>
      </x:c>
      <x:c r="C23" s="821" t="str">
        <x:f>'작업 상세'!C19</x:f>
        <x:v>범위·우선순위·일정 검토</x:v>
      </x:c>
      <x:c r="D23" s="837" t="str">
        <x:v>김태윤</x:v>
      </x:c>
      <x:c r="E23" s="838" t="n">
        <x:v>46322</x:v>
      </x:c>
      <x:c r="F23" s="838" t="n">
        <x:v>46322</x:v>
      </x:c>
      <x:c r="G23" s="824" t="n">
        <x:f t="shared" si="4">IF(OR(E23="",F23=""),"",IF(F23&lt;E23,"기간 확인",COUNTIFS($I$10:$BJ$10,"&gt;="&amp;E23,$I$10:$BJ$10,"&lt;="&amp;F23)))</x:f>
        <x:v>1</x:v>
      </x:c>
      <x:c r="H23" s="929" t="str">
        <x:f>IF(OR(NOT(ISNUMBER(E23)),NOT(ISNUMBER(F23)),F23&lt;E23),"날짜 확인",IF(TODAY()&lt;E23,"시작 전",IF(TODAY()&lt;=F23,"진행 중","완료")))</x:f>
        <x:v>시작 전</x:v>
      </x:c>
      <x:c r="I23" s="826"/>
      <x:c r="J23" s="826"/>
      <x:c r="K23" s="826"/>
      <x:c r="L23" s="826"/>
      <x:c r="M23" s="826"/>
      <x:c r="N23" s="826"/>
      <x:c r="O23" s="826"/>
      <x:c r="P23" s="826"/>
      <x:c r="Q23" s="826"/>
      <x:c r="R23" s="826"/>
      <x:c r="S23" s="826"/>
      <x:c r="T23" s="826"/>
      <x:c r="U23" s="826"/>
      <x:c r="V23" s="826"/>
      <x:c r="W23" s="826"/>
      <x:c r="X23" s="826"/>
      <x:c r="Y23" s="826"/>
      <x:c r="Z23" s="826"/>
      <x:c r="AA23" s="826"/>
      <x:c r="AB23" s="826"/>
      <x:c r="AC23" s="826"/>
      <x:c r="AD23" s="826"/>
      <x:c r="AE23" s="826"/>
      <x:c r="AF23" s="826"/>
      <x:c r="AG23" s="826"/>
      <x:c r="AH23" s="826"/>
      <x:c r="AI23" s="826"/>
      <x:c r="AJ23" s="826"/>
      <x:c r="AK23" s="826"/>
      <x:c r="AL23" s="826"/>
      <x:c r="AM23" s="826"/>
      <x:c r="AN23" s="826"/>
      <x:c r="AO23" s="826"/>
      <x:c r="AP23" s="826"/>
      <x:c r="AQ23" s="826"/>
      <x:c r="AR23" s="826"/>
      <x:c r="AS23" s="826"/>
      <x:c r="AT23" s="826"/>
      <x:c r="AU23" s="826"/>
      <x:c r="AV23" s="826"/>
      <x:c r="AW23" s="826"/>
      <x:c r="AX23" s="826"/>
      <x:c r="AY23" s="826"/>
      <x:c r="AZ23" s="826"/>
      <x:c r="BA23" s="826"/>
      <x:c r="BB23" s="826"/>
      <x:c r="BC23" s="826"/>
      <x:c r="BD23" s="826"/>
      <x:c r="BE23" s="826"/>
      <x:c r="BF23" s="826"/>
      <x:c r="BG23" s="826"/>
      <x:c r="BH23" s="826"/>
      <x:c r="BI23" s="826"/>
      <x:c r="BJ23" s="826"/>
    </x:row>
    <x:row r="24" ht="26" customHeight="1">
      <x:c r="A24" s="2"/>
      <x:c r="B24" s="884" t="str">
        <x:v>WBS-2</x:v>
      </x:c>
      <x:c r="C24" s="885" t="str">
        <x:v>화면·데이터·연동 설계</x:v>
      </x:c>
      <x:c r="D24" s="886" t="str">
        <x:v>김태윤</x:v>
      </x:c>
      <x:c r="E24" s="887" t="n">
        <x:f>MIN(E25:E37)</x:f>
        <x:v>46321</x:v>
      </x:c>
      <x:c r="F24" s="887" t="n">
        <x:f>MAX(F25:F37)</x:f>
        <x:v>46325</x:v>
      </x:c>
      <x:c r="G24" s="888" t="n">
        <x:f>COUNTIFS($I$10:$BJ$10,"&gt;="&amp;E24,$I$10:$BJ$10,"&lt;="&amp;F24)</x:f>
        <x:v>5</x:v>
      </x:c>
      <x:c r="H24" s="928" t="str">
        <x:f>IF(COUNTIFS(H25:H37,"날짜 확인")&gt;0,"날짜 확인",IF(COUNTIFS(H25:H37,"보류")=ROWS(H25:H37),"보류",IF(COUNTIFS(H25:H37,"완료")=ROWS(H25:H37)-COUNTIFS(H25:H37,"보류"),"완료",IF(COUNTIFS(H25:H37,"진행 중")+COUNTIFS(H25:H37,"완료")&gt;0,"진행 중","시작 전"))))</x:f>
        <x:v>진행 중</x:v>
      </x:c>
      <x:c r="I24" s="883"/>
      <x:c r="J24" s="883"/>
      <x:c r="K24" s="883"/>
      <x:c r="L24" s="883"/>
      <x:c r="M24" s="883"/>
      <x:c r="N24" s="883"/>
      <x:c r="O24" s="883"/>
      <x:c r="P24" s="883"/>
      <x:c r="Q24" s="883"/>
      <x:c r="R24" s="883"/>
      <x:c r="S24" s="883"/>
      <x:c r="T24" s="883"/>
      <x:c r="U24" s="883"/>
      <x:c r="V24" s="883"/>
      <x:c r="W24" s="883"/>
      <x:c r="X24" s="883"/>
      <x:c r="Y24" s="883"/>
      <x:c r="Z24" s="883"/>
      <x:c r="AA24" s="883"/>
      <x:c r="AB24" s="883"/>
      <x:c r="AC24" s="883"/>
      <x:c r="AD24" s="883"/>
      <x:c r="AE24" s="883"/>
      <x:c r="AF24" s="883"/>
      <x:c r="AG24" s="883"/>
      <x:c r="AH24" s="883"/>
      <x:c r="AI24" s="883"/>
      <x:c r="AJ24" s="883"/>
      <x:c r="AK24" s="883"/>
      <x:c r="AL24" s="883"/>
      <x:c r="AM24" s="883"/>
      <x:c r="AN24" s="883"/>
      <x:c r="AO24" s="883"/>
      <x:c r="AP24" s="883"/>
      <x:c r="AQ24" s="883"/>
      <x:c r="AR24" s="883"/>
      <x:c r="AS24" s="883"/>
      <x:c r="AT24" s="883"/>
      <x:c r="AU24" s="883"/>
      <x:c r="AV24" s="883"/>
      <x:c r="AW24" s="883"/>
      <x:c r="AX24" s="883"/>
      <x:c r="AY24" s="883"/>
      <x:c r="AZ24" s="883"/>
      <x:c r="BA24" s="883"/>
      <x:c r="BB24" s="883"/>
      <x:c r="BC24" s="883"/>
      <x:c r="BD24" s="883"/>
      <x:c r="BE24" s="883"/>
      <x:c r="BF24" s="883"/>
      <x:c r="BG24" s="883"/>
      <x:c r="BH24" s="883"/>
      <x:c r="BI24" s="883"/>
      <x:c r="BJ24" s="883"/>
    </x:row>
    <x:row r="25" ht="42" customHeight="1">
      <x:c r="A25" s="2"/>
      <x:c r="B25" s="820" t="str">
        <x:v>WBS-2.10</x:v>
      </x:c>
      <x:c r="C25" s="821" t="str">
        <x:f>'작업 상세'!C20</x:f>
        <x:v>교육 지표·집계·모델 공개 계약 확정</x:v>
      </x:c>
      <x:c r="D25" s="837" t="str">
        <x:v>최성욱</x:v>
      </x:c>
      <x:c r="E25" s="838" t="n">
        <x:v>46321</x:v>
      </x:c>
      <x:c r="F25" s="838" t="n">
        <x:v>46322</x:v>
      </x:c>
      <x:c r="G25" s="824" t="n">
        <x:f t="shared" ref="G25:G33" si="5">IF(OR(E25="",F25=""),"",IF(F25&lt;E25,"기간 확인",COUNTIFS($I$10:$BJ$10,"&gt;="&amp;E25,$I$10:$BJ$10,"&lt;="&amp;F25)))</x:f>
        <x:v>2</x:v>
      </x:c>
      <x:c r="H25" s="929" t="str">
        <x:f>IF(OR(NOT(ISNUMBER(E25)),NOT(ISNUMBER(F25)),F25&lt;E25),"날짜 확인",IF(TODAY()&lt;E25,"시작 전",IF(TODAY()&lt;=F25,"진행 중","완료")))</x:f>
        <x:v>진행 중</x:v>
      </x:c>
      <x:c r="I25" s="826"/>
      <x:c r="J25" s="826"/>
      <x:c r="K25" s="826"/>
      <x:c r="L25" s="826"/>
      <x:c r="M25" s="826"/>
      <x:c r="N25" s="826"/>
      <x:c r="O25" s="826"/>
      <x:c r="P25" s="826"/>
      <x:c r="Q25" s="826"/>
      <x:c r="R25" s="826"/>
      <x:c r="S25" s="826"/>
      <x:c r="T25" s="826"/>
      <x:c r="U25" s="826"/>
      <x:c r="V25" s="826"/>
      <x:c r="W25" s="826"/>
      <x:c r="X25" s="826"/>
      <x:c r="Y25" s="826"/>
      <x:c r="Z25" s="826"/>
      <x:c r="AA25" s="826"/>
      <x:c r="AB25" s="826"/>
      <x:c r="AC25" s="826"/>
      <x:c r="AD25" s="826"/>
      <x:c r="AE25" s="826"/>
      <x:c r="AF25" s="826"/>
      <x:c r="AG25" s="826"/>
      <x:c r="AH25" s="826"/>
      <x:c r="AI25" s="826"/>
      <x:c r="AJ25" s="826"/>
      <x:c r="AK25" s="826"/>
      <x:c r="AL25" s="826"/>
      <x:c r="AM25" s="826"/>
      <x:c r="AN25" s="826"/>
      <x:c r="AO25" s="826"/>
      <x:c r="AP25" s="826"/>
      <x:c r="AQ25" s="826"/>
      <x:c r="AR25" s="826"/>
      <x:c r="AS25" s="826"/>
      <x:c r="AT25" s="826"/>
      <x:c r="AU25" s="826"/>
      <x:c r="AV25" s="826"/>
      <x:c r="AW25" s="826"/>
      <x:c r="AX25" s="826"/>
      <x:c r="AY25" s="826"/>
      <x:c r="AZ25" s="826"/>
      <x:c r="BA25" s="826"/>
      <x:c r="BB25" s="826"/>
      <x:c r="BC25" s="826"/>
      <x:c r="BD25" s="826"/>
      <x:c r="BE25" s="826"/>
      <x:c r="BF25" s="826"/>
      <x:c r="BG25" s="826"/>
      <x:c r="BH25" s="826"/>
      <x:c r="BI25" s="826"/>
      <x:c r="BJ25" s="826"/>
    </x:row>
    <x:row r="26" ht="42" customHeight="1">
      <x:c r="A26" s="2"/>
      <x:c r="B26" s="820" t="str">
        <x:v>WBS-2.12</x:v>
      </x:c>
      <x:c r="C26" s="821" t="str">
        <x:f>'작업 상세'!C21</x:f>
        <x:v>평가셋·채점 지침·독립 평가 설계</x:v>
      </x:c>
      <x:c r="D26" s="837" t="str">
        <x:v>김태윤</x:v>
      </x:c>
      <x:c r="E26" s="838" t="n">
        <x:v>46321</x:v>
      </x:c>
      <x:c r="F26" s="838" t="n">
        <x:v>46323</x:v>
      </x:c>
      <x:c r="G26" s="824" t="n">
        <x:f t="shared" si="5">IF(OR(E26="",F26=""),"",IF(F26&lt;E26,"기간 확인",COUNTIFS($I$10:$BJ$10,"&gt;="&amp;E26,$I$10:$BJ$10,"&lt;="&amp;F26)))</x:f>
        <x:v>3</x:v>
      </x:c>
      <x:c r="H26" s="929" t="str">
        <x:f>IF(OR(NOT(ISNUMBER(E26)),NOT(ISNUMBER(F26)),F26&lt;E26),"날짜 확인",IF(TODAY()&lt;E26,"시작 전",IF(TODAY()&lt;=F26,"진행 중","완료")))</x:f>
        <x:v>진행 중</x:v>
      </x:c>
      <x:c r="I26" s="826"/>
      <x:c r="J26" s="826"/>
      <x:c r="K26" s="826"/>
      <x:c r="L26" s="826"/>
      <x:c r="M26" s="826"/>
      <x:c r="N26" s="826"/>
      <x:c r="O26" s="826"/>
      <x:c r="P26" s="826"/>
      <x:c r="Q26" s="826"/>
      <x:c r="R26" s="826"/>
      <x:c r="S26" s="826"/>
      <x:c r="T26" s="826"/>
      <x:c r="U26" s="826"/>
      <x:c r="V26" s="826"/>
      <x:c r="W26" s="826"/>
      <x:c r="X26" s="826"/>
      <x:c r="Y26" s="826"/>
      <x:c r="Z26" s="826"/>
      <x:c r="AA26" s="826"/>
      <x:c r="AB26" s="826"/>
      <x:c r="AC26" s="826"/>
      <x:c r="AD26" s="826"/>
      <x:c r="AE26" s="826"/>
      <x:c r="AF26" s="826"/>
      <x:c r="AG26" s="826"/>
      <x:c r="AH26" s="826"/>
      <x:c r="AI26" s="826"/>
      <x:c r="AJ26" s="826"/>
      <x:c r="AK26" s="826"/>
      <x:c r="AL26" s="826"/>
      <x:c r="AM26" s="826"/>
      <x:c r="AN26" s="826"/>
      <x:c r="AO26" s="826"/>
      <x:c r="AP26" s="826"/>
      <x:c r="AQ26" s="826"/>
      <x:c r="AR26" s="826"/>
      <x:c r="AS26" s="826"/>
      <x:c r="AT26" s="826"/>
      <x:c r="AU26" s="826"/>
      <x:c r="AV26" s="826"/>
      <x:c r="AW26" s="826"/>
      <x:c r="AX26" s="826"/>
      <x:c r="AY26" s="826"/>
      <x:c r="AZ26" s="826"/>
      <x:c r="BA26" s="826"/>
      <x:c r="BB26" s="826"/>
      <x:c r="BC26" s="826"/>
      <x:c r="BD26" s="826"/>
      <x:c r="BE26" s="826"/>
      <x:c r="BF26" s="826"/>
      <x:c r="BG26" s="826"/>
      <x:c r="BH26" s="826"/>
      <x:c r="BI26" s="826"/>
      <x:c r="BJ26" s="826"/>
    </x:row>
    <x:row r="27" ht="42" customHeight="1">
      <x:c r="A27" s="2"/>
      <x:c r="B27" s="820" t="str">
        <x:v>WBS-2.14</x:v>
      </x:c>
      <x:c r="C27" s="821" t="str">
        <x:f>'작업 상세'!C22</x:f>
        <x:v>후보 모델 사용조건·대체 기준선 확정</x:v>
      </x:c>
      <x:c r="D27" s="837" t="str">
        <x:v>김재현</x:v>
      </x:c>
      <x:c r="E27" s="838" t="n">
        <x:v>46321</x:v>
      </x:c>
      <x:c r="F27" s="838" t="n">
        <x:v>46323</x:v>
      </x:c>
      <x:c r="G27" s="824" t="n">
        <x:f t="shared" si="5">IF(OR(E27="",F27=""),"",IF(F27&lt;E27,"기간 확인",COUNTIFS($I$10:$BJ$10,"&gt;="&amp;E27,$I$10:$BJ$10,"&lt;="&amp;F27)))</x:f>
        <x:v>3</x:v>
      </x:c>
      <x:c r="H27" s="929" t="str">
        <x:f>IF(OR(NOT(ISNUMBER(E27)),NOT(ISNUMBER(F27)),F27&lt;E27),"날짜 확인",IF(TODAY()&lt;E27,"시작 전",IF(TODAY()&lt;=F27,"진행 중","완료")))</x:f>
        <x:v>진행 중</x:v>
      </x:c>
      <x:c r="I27" s="826"/>
      <x:c r="J27" s="826"/>
      <x:c r="K27" s="826"/>
      <x:c r="L27" s="826"/>
      <x:c r="M27" s="826"/>
      <x:c r="N27" s="826"/>
      <x:c r="O27" s="826"/>
      <x:c r="P27" s="826"/>
      <x:c r="Q27" s="826"/>
      <x:c r="R27" s="826"/>
      <x:c r="S27" s="826"/>
      <x:c r="T27" s="826"/>
      <x:c r="U27" s="826"/>
      <x:c r="V27" s="826"/>
      <x:c r="W27" s="826"/>
      <x:c r="X27" s="826"/>
      <x:c r="Y27" s="826"/>
      <x:c r="Z27" s="826"/>
      <x:c r="AA27" s="826"/>
      <x:c r="AB27" s="826"/>
      <x:c r="AC27" s="826"/>
      <x:c r="AD27" s="826"/>
      <x:c r="AE27" s="826"/>
      <x:c r="AF27" s="826"/>
      <x:c r="AG27" s="826"/>
      <x:c r="AH27" s="826"/>
      <x:c r="AI27" s="826"/>
      <x:c r="AJ27" s="826"/>
      <x:c r="AK27" s="826"/>
      <x:c r="AL27" s="826"/>
      <x:c r="AM27" s="826"/>
      <x:c r="AN27" s="826"/>
      <x:c r="AO27" s="826"/>
      <x:c r="AP27" s="826"/>
      <x:c r="AQ27" s="826"/>
      <x:c r="AR27" s="826"/>
      <x:c r="AS27" s="826"/>
      <x:c r="AT27" s="826"/>
      <x:c r="AU27" s="826"/>
      <x:c r="AV27" s="826"/>
      <x:c r="AW27" s="826"/>
      <x:c r="AX27" s="826"/>
      <x:c r="AY27" s="826"/>
      <x:c r="AZ27" s="826"/>
      <x:c r="BA27" s="826"/>
      <x:c r="BB27" s="826"/>
      <x:c r="BC27" s="826"/>
      <x:c r="BD27" s="826"/>
      <x:c r="BE27" s="826"/>
      <x:c r="BF27" s="826"/>
      <x:c r="BG27" s="826"/>
      <x:c r="BH27" s="826"/>
      <x:c r="BI27" s="826"/>
      <x:c r="BJ27" s="826"/>
    </x:row>
    <x:row r="28" ht="42" customHeight="1">
      <x:c r="A28" s="2"/>
      <x:c r="B28" s="820" t="str">
        <x:v>WBS-2.11</x:v>
      </x:c>
      <x:c r="C28" s="821" t="str">
        <x:f>'작업 상세'!C23</x:f>
        <x:v>쓰기 집계·추천·성장 화면 API 명세</x:v>
      </x:c>
      <x:c r="D28" s="837" t="str">
        <x:v>최인영</x:v>
      </x:c>
      <x:c r="E28" s="838" t="n">
        <x:v>46322</x:v>
      </x:c>
      <x:c r="F28" s="838" t="n">
        <x:v>46323</x:v>
      </x:c>
      <x:c r="G28" s="824" t="n">
        <x:f t="shared" si="5">IF(OR(E28="",F28=""),"",IF(F28&lt;E28,"기간 확인",COUNTIFS($I$10:$BJ$10,"&gt;="&amp;E28,$I$10:$BJ$10,"&lt;="&amp;F28)))</x:f>
        <x:v>2</x:v>
      </x:c>
      <x:c r="H28" s="929" t="str">
        <x:f>IF(OR(NOT(ISNUMBER(E28)),NOT(ISNUMBER(F28)),F28&lt;E28),"날짜 확인",IF(TODAY()&lt;E28,"시작 전",IF(TODAY()&lt;=F28,"진행 중","완료")))</x:f>
        <x:v>시작 전</x:v>
      </x:c>
      <x:c r="I28" s="826"/>
      <x:c r="J28" s="826"/>
      <x:c r="K28" s="826"/>
      <x:c r="L28" s="826"/>
      <x:c r="M28" s="826"/>
      <x:c r="N28" s="826"/>
      <x:c r="O28" s="826"/>
      <x:c r="P28" s="826"/>
      <x:c r="Q28" s="826"/>
      <x:c r="R28" s="826"/>
      <x:c r="S28" s="826"/>
      <x:c r="T28" s="826"/>
      <x:c r="U28" s="826"/>
      <x:c r="V28" s="826"/>
      <x:c r="W28" s="826"/>
      <x:c r="X28" s="826"/>
      <x:c r="Y28" s="826"/>
      <x:c r="Z28" s="826"/>
      <x:c r="AA28" s="826"/>
      <x:c r="AB28" s="826"/>
      <x:c r="AC28" s="826"/>
      <x:c r="AD28" s="826"/>
      <x:c r="AE28" s="826"/>
      <x:c r="AF28" s="826"/>
      <x:c r="AG28" s="826"/>
      <x:c r="AH28" s="826"/>
      <x:c r="AI28" s="826"/>
      <x:c r="AJ28" s="826"/>
      <x:c r="AK28" s="826"/>
      <x:c r="AL28" s="826"/>
      <x:c r="AM28" s="826"/>
      <x:c r="AN28" s="826"/>
      <x:c r="AO28" s="826"/>
      <x:c r="AP28" s="826"/>
      <x:c r="AQ28" s="826"/>
      <x:c r="AR28" s="826"/>
      <x:c r="AS28" s="826"/>
      <x:c r="AT28" s="826"/>
      <x:c r="AU28" s="826"/>
      <x:c r="AV28" s="826"/>
      <x:c r="AW28" s="826"/>
      <x:c r="AX28" s="826"/>
      <x:c r="AY28" s="826"/>
      <x:c r="AZ28" s="826"/>
      <x:c r="BA28" s="826"/>
      <x:c r="BB28" s="826"/>
      <x:c r="BC28" s="826"/>
      <x:c r="BD28" s="826"/>
      <x:c r="BE28" s="826"/>
      <x:c r="BF28" s="826"/>
      <x:c r="BG28" s="826"/>
      <x:c r="BH28" s="826"/>
      <x:c r="BI28" s="826"/>
      <x:c r="BJ28" s="826"/>
    </x:row>
    <x:row r="29" ht="42" customHeight="1">
      <x:c r="A29" s="2"/>
      <x:c r="B29" s="820" t="str">
        <x:v>WBS-2.1</x:v>
      </x:c>
      <x:c r="C29" s="821" t="str">
        <x:f>'작업 상세'!C24</x:f>
        <x:v>세 역할의 화면·사용 흐름 설계</x:v>
      </x:c>
      <x:c r="D29" s="837" t="str">
        <x:v>황수빈</x:v>
      </x:c>
      <x:c r="E29" s="838" t="n">
        <x:v>46323</x:v>
      </x:c>
      <x:c r="F29" s="838" t="n">
        <x:v>46324</x:v>
      </x:c>
      <x:c r="G29" s="824" t="n">
        <x:f t="shared" si="5">IF(OR(E29="",F29=""),"",IF(F29&lt;E29,"기간 확인",COUNTIFS($I$10:$BJ$10,"&gt;="&amp;E29,$I$10:$BJ$10,"&lt;="&amp;F29)))</x:f>
        <x:v>2</x:v>
      </x:c>
      <x:c r="H29" s="929" t="str">
        <x:f>IF(OR(NOT(ISNUMBER(E29)),NOT(ISNUMBER(F29)),F29&lt;E29),"날짜 확인",IF(TODAY()&lt;E29,"시작 전",IF(TODAY()&lt;=F29,"진행 중","완료")))</x:f>
        <x:v>시작 전</x:v>
      </x:c>
      <x:c r="I29" s="826"/>
      <x:c r="J29" s="826"/>
      <x:c r="K29" s="826"/>
      <x:c r="L29" s="826"/>
      <x:c r="M29" s="826"/>
      <x:c r="N29" s="826"/>
      <x:c r="O29" s="826"/>
      <x:c r="P29" s="826"/>
      <x:c r="Q29" s="826"/>
      <x:c r="R29" s="826"/>
      <x:c r="S29" s="826"/>
      <x:c r="T29" s="826"/>
      <x:c r="U29" s="826"/>
      <x:c r="V29" s="826"/>
      <x:c r="W29" s="826"/>
      <x:c r="X29" s="826"/>
      <x:c r="Y29" s="826"/>
      <x:c r="Z29" s="826"/>
      <x:c r="AA29" s="826"/>
      <x:c r="AB29" s="826"/>
      <x:c r="AC29" s="826"/>
      <x:c r="AD29" s="826"/>
      <x:c r="AE29" s="826"/>
      <x:c r="AF29" s="826"/>
      <x:c r="AG29" s="826"/>
      <x:c r="AH29" s="826"/>
      <x:c r="AI29" s="826"/>
      <x:c r="AJ29" s="826"/>
      <x:c r="AK29" s="826"/>
      <x:c r="AL29" s="826"/>
      <x:c r="AM29" s="826"/>
      <x:c r="AN29" s="826"/>
      <x:c r="AO29" s="826"/>
      <x:c r="AP29" s="826"/>
      <x:c r="AQ29" s="826"/>
      <x:c r="AR29" s="826"/>
      <x:c r="AS29" s="826"/>
      <x:c r="AT29" s="826"/>
      <x:c r="AU29" s="826"/>
      <x:c r="AV29" s="826"/>
      <x:c r="AW29" s="826"/>
      <x:c r="AX29" s="826"/>
      <x:c r="AY29" s="826"/>
      <x:c r="AZ29" s="826"/>
      <x:c r="BA29" s="826"/>
      <x:c r="BB29" s="826"/>
      <x:c r="BC29" s="826"/>
      <x:c r="BD29" s="826"/>
      <x:c r="BE29" s="826"/>
      <x:c r="BF29" s="826"/>
      <x:c r="BG29" s="826"/>
      <x:c r="BH29" s="826"/>
      <x:c r="BI29" s="826"/>
      <x:c r="BJ29" s="826"/>
    </x:row>
    <x:row r="30" ht="42" customHeight="1">
      <x:c r="A30" s="2"/>
      <x:c r="B30" s="820" t="str">
        <x:v>WBS-2.2</x:v>
      </x:c>
      <x:c r="C30" s="821" t="str">
        <x:f>'작업 상세'!C25</x:f>
        <x:v>공개 API·연동 계약 설계</x:v>
      </x:c>
      <x:c r="D30" s="837" t="str">
        <x:v>최인영</x:v>
      </x:c>
      <x:c r="E30" s="838" t="n">
        <x:v>46323</x:v>
      </x:c>
      <x:c r="F30" s="838" t="n">
        <x:v>46324</x:v>
      </x:c>
      <x:c r="G30" s="824" t="n">
        <x:f t="shared" si="5">IF(OR(E30="",F30=""),"",IF(F30&lt;E30,"기간 확인",COUNTIFS($I$10:$BJ$10,"&gt;="&amp;E30,$I$10:$BJ$10,"&lt;="&amp;F30)))</x:f>
        <x:v>2</x:v>
      </x:c>
      <x:c r="H30" s="929" t="str">
        <x:f>IF(OR(NOT(ISNUMBER(E30)),NOT(ISNUMBER(F30)),F30&lt;E30),"날짜 확인",IF(TODAY()&lt;E30,"시작 전",IF(TODAY()&lt;=F30,"진행 중","완료")))</x:f>
        <x:v>시작 전</x:v>
      </x:c>
      <x:c r="I30" s="826"/>
      <x:c r="J30" s="826"/>
      <x:c r="K30" s="826"/>
      <x:c r="L30" s="826"/>
      <x:c r="M30" s="826"/>
      <x:c r="N30" s="826"/>
      <x:c r="O30" s="826"/>
      <x:c r="P30" s="826"/>
      <x:c r="Q30" s="826"/>
      <x:c r="R30" s="826"/>
      <x:c r="S30" s="826"/>
      <x:c r="T30" s="826"/>
      <x:c r="U30" s="826"/>
      <x:c r="V30" s="826"/>
      <x:c r="W30" s="826"/>
      <x:c r="X30" s="826"/>
      <x:c r="Y30" s="826"/>
      <x:c r="Z30" s="826"/>
      <x:c r="AA30" s="826"/>
      <x:c r="AB30" s="826"/>
      <x:c r="AC30" s="826"/>
      <x:c r="AD30" s="826"/>
      <x:c r="AE30" s="826"/>
      <x:c r="AF30" s="826"/>
      <x:c r="AG30" s="826"/>
      <x:c r="AH30" s="826"/>
      <x:c r="AI30" s="826"/>
      <x:c r="AJ30" s="826"/>
      <x:c r="AK30" s="826"/>
      <x:c r="AL30" s="826"/>
      <x:c r="AM30" s="826"/>
      <x:c r="AN30" s="826"/>
      <x:c r="AO30" s="826"/>
      <x:c r="AP30" s="826"/>
      <x:c r="AQ30" s="826"/>
      <x:c r="AR30" s="826"/>
      <x:c r="AS30" s="826"/>
      <x:c r="AT30" s="826"/>
      <x:c r="AU30" s="826"/>
      <x:c r="AV30" s="826"/>
      <x:c r="AW30" s="826"/>
      <x:c r="AX30" s="826"/>
      <x:c r="AY30" s="826"/>
      <x:c r="AZ30" s="826"/>
      <x:c r="BA30" s="826"/>
      <x:c r="BB30" s="826"/>
      <x:c r="BC30" s="826"/>
      <x:c r="BD30" s="826"/>
      <x:c r="BE30" s="826"/>
      <x:c r="BF30" s="826"/>
      <x:c r="BG30" s="826"/>
      <x:c r="BH30" s="826"/>
      <x:c r="BI30" s="826"/>
      <x:c r="BJ30" s="826"/>
    </x:row>
    <x:row r="31" ht="42" customHeight="1">
      <x:c r="A31" s="2"/>
      <x:c r="B31" s="820" t="str">
        <x:v>WBS-2.3</x:v>
      </x:c>
      <x:c r="C31" s="821" t="str">
        <x:f>'작업 상세'!C26</x:f>
        <x:v>학습·대화·거래 기록 설계</x:v>
      </x:c>
      <x:c r="D31" s="837" t="str">
        <x:v>최인영</x:v>
      </x:c>
      <x:c r="E31" s="838" t="n">
        <x:v>46323</x:v>
      </x:c>
      <x:c r="F31" s="838" t="n">
        <x:v>46324</x:v>
      </x:c>
      <x:c r="G31" s="824" t="n">
        <x:f t="shared" si="5">IF(OR(E31="",F31=""),"",IF(F31&lt;E31,"기간 확인",COUNTIFS($I$10:$BJ$10,"&gt;="&amp;E31,$I$10:$BJ$10,"&lt;="&amp;F31)))</x:f>
        <x:v>2</x:v>
      </x:c>
      <x:c r="H31" s="929" t="str">
        <x:f>IF(OR(NOT(ISNUMBER(E31)),NOT(ISNUMBER(F31)),F31&lt;E31),"날짜 확인",IF(TODAY()&lt;E31,"시작 전",IF(TODAY()&lt;=F31,"진행 중","완료")))</x:f>
        <x:v>시작 전</x:v>
      </x:c>
      <x:c r="I31" s="826"/>
      <x:c r="J31" s="826"/>
      <x:c r="K31" s="826"/>
      <x:c r="L31" s="826"/>
      <x:c r="M31" s="826"/>
      <x:c r="N31" s="826"/>
      <x:c r="O31" s="826"/>
      <x:c r="P31" s="826"/>
      <x:c r="Q31" s="826"/>
      <x:c r="R31" s="826"/>
      <x:c r="S31" s="826"/>
      <x:c r="T31" s="826"/>
      <x:c r="U31" s="826"/>
      <x:c r="V31" s="826"/>
      <x:c r="W31" s="826"/>
      <x:c r="X31" s="826"/>
      <x:c r="Y31" s="826"/>
      <x:c r="Z31" s="826"/>
      <x:c r="AA31" s="826"/>
      <x:c r="AB31" s="826"/>
      <x:c r="AC31" s="826"/>
      <x:c r="AD31" s="826"/>
      <x:c r="AE31" s="826"/>
      <x:c r="AF31" s="826"/>
      <x:c r="AG31" s="826"/>
      <x:c r="AH31" s="826"/>
      <x:c r="AI31" s="826"/>
      <x:c r="AJ31" s="826"/>
      <x:c r="AK31" s="826"/>
      <x:c r="AL31" s="826"/>
      <x:c r="AM31" s="826"/>
      <x:c r="AN31" s="826"/>
      <x:c r="AO31" s="826"/>
      <x:c r="AP31" s="826"/>
      <x:c r="AQ31" s="826"/>
      <x:c r="AR31" s="826"/>
      <x:c r="AS31" s="826"/>
      <x:c r="AT31" s="826"/>
      <x:c r="AU31" s="826"/>
      <x:c r="AV31" s="826"/>
      <x:c r="AW31" s="826"/>
      <x:c r="AX31" s="826"/>
      <x:c r="AY31" s="826"/>
      <x:c r="AZ31" s="826"/>
      <x:c r="BA31" s="826"/>
      <x:c r="BB31" s="826"/>
      <x:c r="BC31" s="826"/>
      <x:c r="BD31" s="826"/>
      <x:c r="BE31" s="826"/>
      <x:c r="BF31" s="826"/>
      <x:c r="BG31" s="826"/>
      <x:c r="BH31" s="826"/>
      <x:c r="BI31" s="826"/>
      <x:c r="BJ31" s="826"/>
    </x:row>
    <x:row r="32" ht="42" customHeight="1">
      <x:c r="A32" s="2"/>
      <x:c r="B32" s="820" t="str">
        <x:v>WBS-2.4</x:v>
      </x:c>
      <x:c r="C32" s="821" t="str">
        <x:f>'작업 상세'!C27</x:f>
        <x:v>미션·기준표·예시 답 설계</x:v>
      </x:c>
      <x:c r="D32" s="837" t="str">
        <x:v>김동섭</x:v>
      </x:c>
      <x:c r="E32" s="838" t="n">
        <x:v>46323</x:v>
      </x:c>
      <x:c r="F32" s="838" t="n">
        <x:v>46325</x:v>
      </x:c>
      <x:c r="G32" s="824" t="n">
        <x:f t="shared" si="5">IF(OR(E32="",F32=""),"",IF(F32&lt;E32,"기간 확인",COUNTIFS($I$10:$BJ$10,"&gt;="&amp;E32,$I$10:$BJ$10,"&lt;="&amp;F32)))</x:f>
        <x:v>3</x:v>
      </x:c>
      <x:c r="H32" s="929" t="str">
        <x:f>IF(OR(NOT(ISNUMBER(E32)),NOT(ISNUMBER(F32)),F32&lt;E32),"날짜 확인",IF(TODAY()&lt;E32,"시작 전",IF(TODAY()&lt;=F32,"진행 중","완료")))</x:f>
        <x:v>시작 전</x:v>
      </x:c>
      <x:c r="I32" s="826"/>
      <x:c r="J32" s="826"/>
      <x:c r="K32" s="826"/>
      <x:c r="L32" s="826"/>
      <x:c r="M32" s="826"/>
      <x:c r="N32" s="826"/>
      <x:c r="O32" s="826"/>
      <x:c r="P32" s="826"/>
      <x:c r="Q32" s="826"/>
      <x:c r="R32" s="826"/>
      <x:c r="S32" s="826"/>
      <x:c r="T32" s="826"/>
      <x:c r="U32" s="826"/>
      <x:c r="V32" s="826"/>
      <x:c r="W32" s="826"/>
      <x:c r="X32" s="826"/>
      <x:c r="Y32" s="826"/>
      <x:c r="Z32" s="826"/>
      <x:c r="AA32" s="826"/>
      <x:c r="AB32" s="826"/>
      <x:c r="AC32" s="826"/>
      <x:c r="AD32" s="826"/>
      <x:c r="AE32" s="826"/>
      <x:c r="AF32" s="826"/>
      <x:c r="AG32" s="826"/>
      <x:c r="AH32" s="826"/>
      <x:c r="AI32" s="826"/>
      <x:c r="AJ32" s="826"/>
      <x:c r="AK32" s="826"/>
      <x:c r="AL32" s="826"/>
      <x:c r="AM32" s="826"/>
      <x:c r="AN32" s="826"/>
      <x:c r="AO32" s="826"/>
      <x:c r="AP32" s="826"/>
      <x:c r="AQ32" s="826"/>
      <x:c r="AR32" s="826"/>
      <x:c r="AS32" s="826"/>
      <x:c r="AT32" s="826"/>
      <x:c r="AU32" s="826"/>
      <x:c r="AV32" s="826"/>
      <x:c r="AW32" s="826"/>
      <x:c r="AX32" s="826"/>
      <x:c r="AY32" s="826"/>
      <x:c r="AZ32" s="826"/>
      <x:c r="BA32" s="826"/>
      <x:c r="BB32" s="826"/>
      <x:c r="BC32" s="826"/>
      <x:c r="BD32" s="826"/>
      <x:c r="BE32" s="826"/>
      <x:c r="BF32" s="826"/>
      <x:c r="BG32" s="826"/>
      <x:c r="BH32" s="826"/>
      <x:c r="BI32" s="826"/>
      <x:c r="BJ32" s="826"/>
    </x:row>
    <x:row r="33" ht="42" customHeight="1">
      <x:c r="A33" s="2"/>
      <x:c r="B33" s="820" t="str">
        <x:v>WBS-2.5</x:v>
      </x:c>
      <x:c r="C33" s="821" t="str">
        <x:f>'작업 상세'!C28</x:f>
        <x:v>학습 데이터·분할 계획 준비</x:v>
      </x:c>
      <x:c r="D33" s="837" t="str">
        <x:v>김재현</x:v>
      </x:c>
      <x:c r="E33" s="838" t="n">
        <x:v>46323</x:v>
      </x:c>
      <x:c r="F33" s="838" t="n">
        <x:v>46323</x:v>
      </x:c>
      <x:c r="G33" s="824" t="n">
        <x:f t="shared" si="5">IF(OR(E33="",F33=""),"",IF(F33&lt;E33,"기간 확인",COUNTIFS($I$10:$BJ$10,"&gt;="&amp;E33,$I$10:$BJ$10,"&lt;="&amp;F33)))</x:f>
        <x:v>1</x:v>
      </x:c>
      <x:c r="H33" s="929" t="str">
        <x:f>IF(OR(NOT(ISNUMBER(E33)),NOT(ISNUMBER(F33)),F33&lt;E33),"날짜 확인",IF(TODAY()&lt;E33,"시작 전",IF(TODAY()&lt;=F33,"진행 중","완료")))</x:f>
        <x:v>시작 전</x:v>
      </x:c>
      <x:c r="I33" s="826"/>
      <x:c r="J33" s="826"/>
      <x:c r="K33" s="826"/>
      <x:c r="L33" s="826"/>
      <x:c r="M33" s="826"/>
      <x:c r="N33" s="826"/>
      <x:c r="O33" s="826"/>
      <x:c r="P33" s="826"/>
      <x:c r="Q33" s="826"/>
      <x:c r="R33" s="826"/>
      <x:c r="S33" s="826"/>
      <x:c r="T33" s="826"/>
      <x:c r="U33" s="826"/>
      <x:c r="V33" s="826"/>
      <x:c r="W33" s="826"/>
      <x:c r="X33" s="826"/>
      <x:c r="Y33" s="826"/>
      <x:c r="Z33" s="826"/>
      <x:c r="AA33" s="826"/>
      <x:c r="AB33" s="826"/>
      <x:c r="AC33" s="826"/>
      <x:c r="AD33" s="826"/>
      <x:c r="AE33" s="826"/>
      <x:c r="AF33" s="826"/>
      <x:c r="AG33" s="826"/>
      <x:c r="AH33" s="826"/>
      <x:c r="AI33" s="826"/>
      <x:c r="AJ33" s="826"/>
      <x:c r="AK33" s="826"/>
      <x:c r="AL33" s="826"/>
      <x:c r="AM33" s="826"/>
      <x:c r="AN33" s="826"/>
      <x:c r="AO33" s="826"/>
      <x:c r="AP33" s="826"/>
      <x:c r="AQ33" s="826"/>
      <x:c r="AR33" s="826"/>
      <x:c r="AS33" s="826"/>
      <x:c r="AT33" s="826"/>
      <x:c r="AU33" s="826"/>
      <x:c r="AV33" s="826"/>
      <x:c r="AW33" s="826"/>
      <x:c r="AX33" s="826"/>
      <x:c r="AY33" s="826"/>
      <x:c r="AZ33" s="826"/>
      <x:c r="BA33" s="826"/>
      <x:c r="BB33" s="826"/>
      <x:c r="BC33" s="826"/>
      <x:c r="BD33" s="826"/>
      <x:c r="BE33" s="826"/>
      <x:c r="BF33" s="826"/>
      <x:c r="BG33" s="826"/>
      <x:c r="BH33" s="826"/>
      <x:c r="BI33" s="826"/>
      <x:c r="BJ33" s="826"/>
    </x:row>
    <x:row r="34" ht="42" customHeight="1">
      <x:c r="A34" s="2"/>
      <x:c r="B34" s="820" t="str">
        <x:v>WBS-2.7</x:v>
      </x:c>
      <x:c r="C34" s="821" t="str">
        <x:f>'작업 상세'!C29</x:f>
        <x:v>배포·관측·복구 설계</x:v>
      </x:c>
      <x:c r="D34" s="837" t="str">
        <x:v>김동섭</x:v>
      </x:c>
      <x:c r="E34" s="838" t="n">
        <x:v>46323</x:v>
      </x:c>
      <x:c r="F34" s="838" t="n">
        <x:v>46325</x:v>
      </x:c>
      <x:c r="G34" s="824" t="n">
        <x:f>IF(OR(E34="",F34=""),"",IF(F34&lt;E34,"기간 확인",COUNTIFS($I$10:$BJ$10,"&gt;="&amp;E34,$I$10:$BJ$10,"&lt;="&amp;F34)))</x:f>
        <x:v>3</x:v>
      </x:c>
      <x:c r="H34" s="929" t="str">
        <x:f>IF(OR(NOT(ISNUMBER(E34)),NOT(ISNUMBER(F34)),F34&lt;E34),"날짜 확인",IF(TODAY()&lt;E34,"시작 전",IF(TODAY()&lt;=F34,"진행 중","완료")))</x:f>
        <x:v>시작 전</x:v>
      </x:c>
      <x:c r="I34" s="826"/>
      <x:c r="J34" s="826"/>
      <x:c r="K34" s="826"/>
      <x:c r="L34" s="826"/>
      <x:c r="M34" s="826"/>
      <x:c r="N34" s="826"/>
      <x:c r="O34" s="826"/>
      <x:c r="P34" s="826"/>
      <x:c r="Q34" s="826"/>
      <x:c r="R34" s="826"/>
      <x:c r="S34" s="826"/>
      <x:c r="T34" s="826"/>
      <x:c r="U34" s="826"/>
      <x:c r="V34" s="826"/>
      <x:c r="W34" s="826"/>
      <x:c r="X34" s="826"/>
      <x:c r="Y34" s="826"/>
      <x:c r="Z34" s="826"/>
      <x:c r="AA34" s="826"/>
      <x:c r="AB34" s="826"/>
      <x:c r="AC34" s="826"/>
      <x:c r="AD34" s="826"/>
      <x:c r="AE34" s="826"/>
      <x:c r="AF34" s="826"/>
      <x:c r="AG34" s="826"/>
      <x:c r="AH34" s="826"/>
      <x:c r="AI34" s="826"/>
      <x:c r="AJ34" s="826"/>
      <x:c r="AK34" s="826"/>
      <x:c r="AL34" s="826"/>
      <x:c r="AM34" s="826"/>
      <x:c r="AN34" s="826"/>
      <x:c r="AO34" s="826"/>
      <x:c r="AP34" s="826"/>
      <x:c r="AQ34" s="826"/>
      <x:c r="AR34" s="826"/>
      <x:c r="AS34" s="826"/>
      <x:c r="AT34" s="826"/>
      <x:c r="AU34" s="826"/>
      <x:c r="AV34" s="826"/>
      <x:c r="AW34" s="826"/>
      <x:c r="AX34" s="826"/>
      <x:c r="AY34" s="826"/>
      <x:c r="AZ34" s="826"/>
      <x:c r="BA34" s="826"/>
      <x:c r="BB34" s="826"/>
      <x:c r="BC34" s="826"/>
      <x:c r="BD34" s="826"/>
      <x:c r="BE34" s="826"/>
      <x:c r="BF34" s="826"/>
      <x:c r="BG34" s="826"/>
      <x:c r="BH34" s="826"/>
      <x:c r="BI34" s="826"/>
      <x:c r="BJ34" s="826"/>
    </x:row>
    <x:row r="35" ht="42" customHeight="1">
      <x:c r="A35" s="2"/>
      <x:c r="B35" s="820" t="str">
        <x:v>WBS-2.6</x:v>
      </x:c>
      <x:c r="C35" s="821" t="str">
        <x:f>'작업 상세'!C30</x:f>
        <x:v>인증·권한·동의 설계</x:v>
      </x:c>
      <x:c r="D35" s="837" t="str">
        <x:v>최인영</x:v>
      </x:c>
      <x:c r="E35" s="838" t="n">
        <x:v>46325</x:v>
      </x:c>
      <x:c r="F35" s="838" t="n">
        <x:v>46325</x:v>
      </x:c>
      <x:c r="G35" s="824" t="n">
        <x:f>IF(OR(E35="",F35=""),"",IF(F35&lt;E35,"기간 확인",COUNTIFS($I$10:$BJ$10,"&gt;="&amp;E35,$I$10:$BJ$10,"&lt;="&amp;F35)))</x:f>
        <x:v>1</x:v>
      </x:c>
      <x:c r="H35" s="929" t="str">
        <x:f>IF(OR(NOT(ISNUMBER(E35)),NOT(ISNUMBER(F35)),F35&lt;E35),"날짜 확인",IF(TODAY()&lt;E35,"시작 전",IF(TODAY()&lt;=F35,"진행 중","완료")))</x:f>
        <x:v>시작 전</x:v>
      </x:c>
      <x:c r="I35" s="826"/>
      <x:c r="J35" s="826"/>
      <x:c r="K35" s="826"/>
      <x:c r="L35" s="826"/>
      <x:c r="M35" s="826"/>
      <x:c r="N35" s="826"/>
      <x:c r="O35" s="826"/>
      <x:c r="P35" s="826"/>
      <x:c r="Q35" s="826"/>
      <x:c r="R35" s="826"/>
      <x:c r="S35" s="826"/>
      <x:c r="T35" s="826"/>
      <x:c r="U35" s="826"/>
      <x:c r="V35" s="826"/>
      <x:c r="W35" s="826"/>
      <x:c r="X35" s="826"/>
      <x:c r="Y35" s="826"/>
      <x:c r="Z35" s="826"/>
      <x:c r="AA35" s="826"/>
      <x:c r="AB35" s="826"/>
      <x:c r="AC35" s="826"/>
      <x:c r="AD35" s="826"/>
      <x:c r="AE35" s="826"/>
      <x:c r="AF35" s="826"/>
      <x:c r="AG35" s="826"/>
      <x:c r="AH35" s="826"/>
      <x:c r="AI35" s="826"/>
      <x:c r="AJ35" s="826"/>
      <x:c r="AK35" s="826"/>
      <x:c r="AL35" s="826"/>
      <x:c r="AM35" s="826"/>
      <x:c r="AN35" s="826"/>
      <x:c r="AO35" s="826"/>
      <x:c r="AP35" s="826"/>
      <x:c r="AQ35" s="826"/>
      <x:c r="AR35" s="826"/>
      <x:c r="AS35" s="826"/>
      <x:c r="AT35" s="826"/>
      <x:c r="AU35" s="826"/>
      <x:c r="AV35" s="826"/>
      <x:c r="AW35" s="826"/>
      <x:c r="AX35" s="826"/>
      <x:c r="AY35" s="826"/>
      <x:c r="AZ35" s="826"/>
      <x:c r="BA35" s="826"/>
      <x:c r="BB35" s="826"/>
      <x:c r="BC35" s="826"/>
      <x:c r="BD35" s="826"/>
      <x:c r="BE35" s="826"/>
      <x:c r="BF35" s="826"/>
      <x:c r="BG35" s="826"/>
      <x:c r="BH35" s="826"/>
      <x:c r="BI35" s="826"/>
      <x:c r="BJ35" s="826"/>
    </x:row>
    <x:row r="36" ht="42" customHeight="1">
      <x:c r="A36" s="2"/>
      <x:c r="B36" s="820" t="str">
        <x:v>WBS-2.9</x:v>
      </x:c>
      <x:c r="C36" s="821" t="str">
        <x:f>'작업 상세'!C31</x:f>
        <x:v>최종 검증·평가 기준 설계</x:v>
      </x:c>
      <x:c r="D36" s="837" t="str">
        <x:v>김태윤</x:v>
      </x:c>
      <x:c r="E36" s="838" t="n">
        <x:v>46325</x:v>
      </x:c>
      <x:c r="F36" s="838" t="n">
        <x:v>46325</x:v>
      </x:c>
      <x:c r="G36" s="824" t="n">
        <x:f>IF(OR(E36="",F36=""),"",IF(F36&lt;E36,"기간 확인",COUNTIFS($I$10:$BJ$10,"&gt;="&amp;E36,$I$10:$BJ$10,"&lt;="&amp;F36)))</x:f>
        <x:v>1</x:v>
      </x:c>
      <x:c r="H36" s="929" t="str">
        <x:f>IF(OR(NOT(ISNUMBER(E36)),NOT(ISNUMBER(F36)),F36&lt;E36),"날짜 확인",IF(TODAY()&lt;E36,"시작 전",IF(TODAY()&lt;=F36,"진행 중","완료")))</x:f>
        <x:v>시작 전</x:v>
      </x:c>
      <x:c r="I36" s="826"/>
      <x:c r="J36" s="826"/>
      <x:c r="K36" s="826"/>
      <x:c r="L36" s="826"/>
      <x:c r="M36" s="826"/>
      <x:c r="N36" s="826"/>
      <x:c r="O36" s="826"/>
      <x:c r="P36" s="826"/>
      <x:c r="Q36" s="826"/>
      <x:c r="R36" s="826"/>
      <x:c r="S36" s="826"/>
      <x:c r="T36" s="826"/>
      <x:c r="U36" s="826"/>
      <x:c r="V36" s="826"/>
      <x:c r="W36" s="826"/>
      <x:c r="X36" s="826"/>
      <x:c r="Y36" s="826"/>
      <x:c r="Z36" s="826"/>
      <x:c r="AA36" s="826"/>
      <x:c r="AB36" s="826"/>
      <x:c r="AC36" s="826"/>
      <x:c r="AD36" s="826"/>
      <x:c r="AE36" s="826"/>
      <x:c r="AF36" s="826"/>
      <x:c r="AG36" s="826"/>
      <x:c r="AH36" s="826"/>
      <x:c r="AI36" s="826"/>
      <x:c r="AJ36" s="826"/>
      <x:c r="AK36" s="826"/>
      <x:c r="AL36" s="826"/>
      <x:c r="AM36" s="826"/>
      <x:c r="AN36" s="826"/>
      <x:c r="AO36" s="826"/>
      <x:c r="AP36" s="826"/>
      <x:c r="AQ36" s="826"/>
      <x:c r="AR36" s="826"/>
      <x:c r="AS36" s="826"/>
      <x:c r="AT36" s="826"/>
      <x:c r="AU36" s="826"/>
      <x:c r="AV36" s="826"/>
      <x:c r="AW36" s="826"/>
      <x:c r="AX36" s="826"/>
      <x:c r="AY36" s="826"/>
      <x:c r="AZ36" s="826"/>
      <x:c r="BA36" s="826"/>
      <x:c r="BB36" s="826"/>
      <x:c r="BC36" s="826"/>
      <x:c r="BD36" s="826"/>
      <x:c r="BE36" s="826"/>
      <x:c r="BF36" s="826"/>
      <x:c r="BG36" s="826"/>
      <x:c r="BH36" s="826"/>
      <x:c r="BI36" s="826"/>
      <x:c r="BJ36" s="826"/>
    </x:row>
    <x:row r="37" ht="42" customHeight="1">
      <x:c r="A37" s="2"/>
      <x:c r="B37" s="820" t="str">
        <x:v>WBS-2.13</x:v>
      </x:c>
      <x:c r="C37" s="821" t="str">
        <x:f>'작업 상세'!C32</x:f>
        <x:v>문서·범위·담당·제출 추적 확정</x:v>
      </x:c>
      <x:c r="D37" s="837" t="str">
        <x:v>김동섭</x:v>
      </x:c>
      <x:c r="E37" s="838" t="n">
        <x:v>46325</x:v>
      </x:c>
      <x:c r="F37" s="838" t="n">
        <x:v>46325</x:v>
      </x:c>
      <x:c r="G37" s="824" t="n">
        <x:f>IF(OR(E37="",F37=""),"",IF(F37&lt;E37,"기간 확인",COUNTIFS($I$10:$BJ$10,"&gt;="&amp;E37,$I$10:$BJ$10,"&lt;="&amp;F37)))</x:f>
        <x:v>1</x:v>
      </x:c>
      <x:c r="H37" s="929" t="str">
        <x:f>IF(OR(NOT(ISNUMBER(E37)),NOT(ISNUMBER(F37)),F37&lt;E37),"날짜 확인",IF(TODAY()&lt;E37,"시작 전",IF(TODAY()&lt;=F37,"진행 중","완료")))</x:f>
        <x:v>시작 전</x:v>
      </x:c>
      <x:c r="I37" s="826"/>
      <x:c r="J37" s="826"/>
      <x:c r="K37" s="826"/>
      <x:c r="L37" s="826"/>
      <x:c r="M37" s="826"/>
      <x:c r="N37" s="826"/>
      <x:c r="O37" s="826"/>
      <x:c r="P37" s="826"/>
      <x:c r="Q37" s="826"/>
      <x:c r="R37" s="826"/>
      <x:c r="S37" s="826"/>
      <x:c r="T37" s="826"/>
      <x:c r="U37" s="826"/>
      <x:c r="V37" s="826"/>
      <x:c r="W37" s="826"/>
      <x:c r="X37" s="826"/>
      <x:c r="Y37" s="826"/>
      <x:c r="Z37" s="826"/>
      <x:c r="AA37" s="826"/>
      <x:c r="AB37" s="826"/>
      <x:c r="AC37" s="826"/>
      <x:c r="AD37" s="826"/>
      <x:c r="AE37" s="826"/>
      <x:c r="AF37" s="826"/>
      <x:c r="AG37" s="826"/>
      <x:c r="AH37" s="826"/>
      <x:c r="AI37" s="826"/>
      <x:c r="AJ37" s="826"/>
      <x:c r="AK37" s="826"/>
      <x:c r="AL37" s="826"/>
      <x:c r="AM37" s="826"/>
      <x:c r="AN37" s="826"/>
      <x:c r="AO37" s="826"/>
      <x:c r="AP37" s="826"/>
      <x:c r="AQ37" s="826"/>
      <x:c r="AR37" s="826"/>
      <x:c r="AS37" s="826"/>
      <x:c r="AT37" s="826"/>
      <x:c r="AU37" s="826"/>
      <x:c r="AV37" s="826"/>
      <x:c r="AW37" s="826"/>
      <x:c r="AX37" s="826"/>
      <x:c r="AY37" s="826"/>
      <x:c r="AZ37" s="826"/>
      <x:c r="BA37" s="826"/>
      <x:c r="BB37" s="826"/>
      <x:c r="BC37" s="826"/>
      <x:c r="BD37" s="826"/>
      <x:c r="BE37" s="826"/>
      <x:c r="BF37" s="826"/>
      <x:c r="BG37" s="826"/>
      <x:c r="BH37" s="826"/>
      <x:c r="BI37" s="826"/>
      <x:c r="BJ37" s="826"/>
    </x:row>
    <x:row r="38" ht="26" customHeight="1">
      <x:c r="A38" s="2"/>
      <x:c r="B38" s="884" t="str">
        <x:v>WBS-3</x:v>
      </x:c>
      <x:c r="C38" s="885" t="str">
        <x:v>기능·콘텐츠·모델 구현</x:v>
      </x:c>
      <x:c r="D38" s="886" t="str">
        <x:v>김태윤</x:v>
      </x:c>
      <x:c r="E38" s="887" t="n">
        <x:f>MIN(E39:E82)</x:f>
        <x:v>46321</x:v>
      </x:c>
      <x:c r="F38" s="887" t="n">
        <x:f>MAX(F39:F82)</x:f>
        <x:v>46344</x:v>
      </x:c>
      <x:c r="G38" s="888" t="n">
        <x:f>COUNTIFS($I$10:$BJ$10,"&gt;="&amp;E38,$I$10:$BJ$10,"&lt;="&amp;F38)</x:f>
        <x:v>24</x:v>
      </x:c>
      <x:c r="H38" s="928" t="str">
        <x:f>IF(COUNTIFS(H39:H82,"날짜 확인")&gt;0,"날짜 확인",IF(COUNTIFS(H39:H82,"보류")=ROWS(H39:H82),"보류",IF(COUNTIFS(H39:H82,"완료")=ROWS(H39:H82)-COUNTIFS(H39:H82,"보류"),"완료",IF(COUNTIFS(H39:H82,"진행 중")+COUNTIFS(H39:H82,"완료")&gt;0,"진행 중","시작 전"))))</x:f>
        <x:v>진행 중</x:v>
      </x:c>
      <x:c r="I38" s="883"/>
      <x:c r="J38" s="883"/>
      <x:c r="K38" s="883"/>
      <x:c r="L38" s="883"/>
      <x:c r="M38" s="883"/>
      <x:c r="N38" s="883"/>
      <x:c r="O38" s="883"/>
      <x:c r="P38" s="883"/>
      <x:c r="Q38" s="883"/>
      <x:c r="R38" s="883"/>
      <x:c r="S38" s="883"/>
      <x:c r="T38" s="883"/>
      <x:c r="U38" s="883"/>
      <x:c r="V38" s="883"/>
      <x:c r="W38" s="883"/>
      <x:c r="X38" s="883"/>
      <x:c r="Y38" s="883"/>
      <x:c r="Z38" s="883"/>
      <x:c r="AA38" s="883"/>
      <x:c r="AB38" s="883"/>
      <x:c r="AC38" s="883"/>
      <x:c r="AD38" s="883"/>
      <x:c r="AE38" s="883"/>
      <x:c r="AF38" s="883"/>
      <x:c r="AG38" s="883"/>
      <x:c r="AH38" s="883"/>
      <x:c r="AI38" s="883"/>
      <x:c r="AJ38" s="883"/>
      <x:c r="AK38" s="883"/>
      <x:c r="AL38" s="883"/>
      <x:c r="AM38" s="883"/>
      <x:c r="AN38" s="883"/>
      <x:c r="AO38" s="883"/>
      <x:c r="AP38" s="883"/>
      <x:c r="AQ38" s="883"/>
      <x:c r="AR38" s="883"/>
      <x:c r="AS38" s="883"/>
      <x:c r="AT38" s="883"/>
      <x:c r="AU38" s="883"/>
      <x:c r="AV38" s="883"/>
      <x:c r="AW38" s="883"/>
      <x:c r="AX38" s="883"/>
      <x:c r="AY38" s="883"/>
      <x:c r="AZ38" s="883"/>
      <x:c r="BA38" s="883"/>
      <x:c r="BB38" s="883"/>
      <x:c r="BC38" s="883"/>
      <x:c r="BD38" s="883"/>
      <x:c r="BE38" s="883"/>
      <x:c r="BF38" s="883"/>
      <x:c r="BG38" s="883"/>
      <x:c r="BH38" s="883"/>
      <x:c r="BI38" s="883"/>
      <x:c r="BJ38" s="883"/>
    </x:row>
    <x:row r="39" ht="42" customHeight="1">
      <x:c r="A39" s="2"/>
      <x:c r="B39" s="820" t="str">
        <x:v>WBS-3.47</x:v>
      </x:c>
      <x:c r="C39" s="821" t="str">
        <x:f>'작업 상세'!C33</x:f>
        <x:v>성취기준790개 수집본 정리·기존10미션 재태깅</x:v>
      </x:c>
      <x:c r="D39" s="837" t="str">
        <x:v>김동섭</x:v>
      </x:c>
      <x:c r="E39" s="838" t="n">
        <x:v>46321</x:v>
      </x:c>
      <x:c r="F39" s="838" t="n">
        <x:v>46322</x:v>
      </x:c>
      <x:c r="G39" s="824" t="n">
        <x:f>IF(OR(E39="",F39=""),"",IF(F39&lt;E39,"기간 확인",COUNTIFS($I$10:$BJ$10,"&gt;="&amp;E39,$I$10:$BJ$10,"&lt;="&amp;F39)))</x:f>
        <x:v>2</x:v>
      </x:c>
      <x:c r="H39" s="929" t="str">
        <x:f>IF(OR(NOT(ISNUMBER(E39)),NOT(ISNUMBER(F39)),F39&lt;E39),"날짜 확인",IF(TODAY()&lt;E39,"시작 전",IF(TODAY()&lt;=F39,"진행 중","완료")))</x:f>
        <x:v>진행 중</x:v>
      </x:c>
      <x:c r="I39" s="826"/>
      <x:c r="J39" s="826"/>
      <x:c r="K39" s="826"/>
      <x:c r="L39" s="826"/>
      <x:c r="M39" s="826"/>
      <x:c r="N39" s="826"/>
      <x:c r="O39" s="826"/>
      <x:c r="P39" s="826"/>
      <x:c r="Q39" s="826"/>
      <x:c r="R39" s="826"/>
      <x:c r="S39" s="826"/>
      <x:c r="T39" s="826"/>
      <x:c r="U39" s="826"/>
      <x:c r="V39" s="826"/>
      <x:c r="W39" s="826"/>
      <x:c r="X39" s="826"/>
      <x:c r="Y39" s="826"/>
      <x:c r="Z39" s="826"/>
      <x:c r="AA39" s="826"/>
      <x:c r="AB39" s="826"/>
      <x:c r="AC39" s="826"/>
      <x:c r="AD39" s="826"/>
      <x:c r="AE39" s="826"/>
      <x:c r="AF39" s="826"/>
      <x:c r="AG39" s="826"/>
      <x:c r="AH39" s="826"/>
      <x:c r="AI39" s="826"/>
      <x:c r="AJ39" s="826"/>
      <x:c r="AK39" s="826"/>
      <x:c r="AL39" s="826"/>
      <x:c r="AM39" s="826"/>
      <x:c r="AN39" s="826"/>
      <x:c r="AO39" s="826"/>
      <x:c r="AP39" s="826"/>
      <x:c r="AQ39" s="826"/>
      <x:c r="AR39" s="826"/>
      <x:c r="AS39" s="826"/>
      <x:c r="AT39" s="826"/>
      <x:c r="AU39" s="826"/>
      <x:c r="AV39" s="826"/>
      <x:c r="AW39" s="826"/>
      <x:c r="AX39" s="826"/>
      <x:c r="AY39" s="826"/>
      <x:c r="AZ39" s="826"/>
      <x:c r="BA39" s="826"/>
      <x:c r="BB39" s="826"/>
      <x:c r="BC39" s="826"/>
      <x:c r="BD39" s="826"/>
      <x:c r="BE39" s="826"/>
      <x:c r="BF39" s="826"/>
      <x:c r="BG39" s="826"/>
      <x:c r="BH39" s="826"/>
      <x:c r="BI39" s="826"/>
      <x:c r="BJ39" s="826"/>
    </x:row>
    <x:row r="40" ht="42" customHeight="1">
      <x:c r="A40" s="2"/>
      <x:c r="B40" s="820" t="str">
        <x:v>WBS-3.29</x:v>
      </x:c>
      <x:c r="C40" s="821" t="str">
        <x:f>'작업 상세'!C34</x:f>
        <x:v>M1 수학 비교 실험</x:v>
      </x:c>
      <x:c r="D40" s="837" t="str">
        <x:v>김재현</x:v>
      </x:c>
      <x:c r="E40" s="838" t="n">
        <x:v>46324</x:v>
      </x:c>
      <x:c r="F40" s="838" t="n">
        <x:v>46326</x:v>
      </x:c>
      <x:c r="G40" s="824" t="n">
        <x:f>IF(OR(E40="",F40=""),"",IF(F40&lt;E40,"기간 확인",COUNTIFS($I$10:$BJ$10,"&gt;="&amp;E40,$I$10:$BJ$10,"&lt;="&amp;F40)))</x:f>
        <x:v>3</x:v>
      </x:c>
      <x:c r="H40" s="929" t="str">
        <x:f>IF(OR(NOT(ISNUMBER(E40)),NOT(ISNUMBER(F40)),F40&lt;E40),"날짜 확인",IF(TODAY()&lt;E40,"시작 전",IF(TODAY()&lt;=F40,"진행 중","완료")))</x:f>
        <x:v>시작 전</x:v>
      </x:c>
      <x:c r="I40" s="826"/>
      <x:c r="J40" s="826"/>
      <x:c r="K40" s="826"/>
      <x:c r="L40" s="826"/>
      <x:c r="M40" s="826"/>
      <x:c r="N40" s="826"/>
      <x:c r="O40" s="826"/>
      <x:c r="P40" s="826"/>
      <x:c r="Q40" s="826"/>
      <x:c r="R40" s="826"/>
      <x:c r="S40" s="826"/>
      <x:c r="T40" s="826"/>
      <x:c r="U40" s="826"/>
      <x:c r="V40" s="826"/>
      <x:c r="W40" s="826"/>
      <x:c r="X40" s="826"/>
      <x:c r="Y40" s="826"/>
      <x:c r="Z40" s="826"/>
      <x:c r="AA40" s="826"/>
      <x:c r="AB40" s="826"/>
      <x:c r="AC40" s="826"/>
      <x:c r="AD40" s="826"/>
      <x:c r="AE40" s="826"/>
      <x:c r="AF40" s="826"/>
      <x:c r="AG40" s="826"/>
      <x:c r="AH40" s="826"/>
      <x:c r="AI40" s="826"/>
      <x:c r="AJ40" s="826"/>
      <x:c r="AK40" s="826"/>
      <x:c r="AL40" s="826"/>
      <x:c r="AM40" s="826"/>
      <x:c r="AN40" s="826"/>
      <x:c r="AO40" s="826"/>
      <x:c r="AP40" s="826"/>
      <x:c r="AQ40" s="826"/>
      <x:c r="AR40" s="826"/>
      <x:c r="AS40" s="826"/>
      <x:c r="AT40" s="826"/>
      <x:c r="AU40" s="826"/>
      <x:c r="AV40" s="826"/>
      <x:c r="AW40" s="826"/>
      <x:c r="AX40" s="826"/>
      <x:c r="AY40" s="826"/>
      <x:c r="AZ40" s="826"/>
      <x:c r="BA40" s="826"/>
      <x:c r="BB40" s="826"/>
      <x:c r="BC40" s="826"/>
      <x:c r="BD40" s="826"/>
      <x:c r="BE40" s="826"/>
      <x:c r="BF40" s="826"/>
      <x:c r="BG40" s="826"/>
      <x:c r="BH40" s="826"/>
      <x:c r="BI40" s="826"/>
      <x:c r="BJ40" s="826"/>
    </x:row>
    <x:row r="41" ht="42" customHeight="1">
      <x:c r="A41" s="2"/>
      <x:c r="B41" s="820" t="str">
        <x:v>WBS-3.33</x:v>
      </x:c>
      <x:c r="C41" s="821" t="str">
        <x:f>'작업 상세'!C35</x:f>
        <x:v>학습 데이터 정제·전처리 결과 정리</x:v>
      </x:c>
      <x:c r="D41" s="837" t="str">
        <x:v>김재현</x:v>
      </x:c>
      <x:c r="E41" s="838" t="n">
        <x:v>46324</x:v>
      </x:c>
      <x:c r="F41" s="838" t="n">
        <x:v>46326</x:v>
      </x:c>
      <x:c r="G41" s="824" t="n">
        <x:f>IF(OR(E41="",F41=""),"",IF(F41&lt;E41,"기간 확인",COUNTIFS($I$10:$BJ$10,"&gt;="&amp;E41,$I$10:$BJ$10,"&lt;="&amp;F41)))</x:f>
        <x:v>3</x:v>
      </x:c>
      <x:c r="H41" s="929" t="str">
        <x:f>IF(OR(NOT(ISNUMBER(E41)),NOT(ISNUMBER(F41)),F41&lt;E41),"날짜 확인",IF(TODAY()&lt;E41,"시작 전",IF(TODAY()&lt;=F41,"진행 중","완료")))</x:f>
        <x:v>시작 전</x:v>
      </x:c>
      <x:c r="I41" s="826"/>
      <x:c r="J41" s="826"/>
      <x:c r="K41" s="826"/>
      <x:c r="L41" s="826"/>
      <x:c r="M41" s="826"/>
      <x:c r="N41" s="826"/>
      <x:c r="O41" s="826"/>
      <x:c r="P41" s="826"/>
      <x:c r="Q41" s="826"/>
      <x:c r="R41" s="826"/>
      <x:c r="S41" s="826"/>
      <x:c r="T41" s="826"/>
      <x:c r="U41" s="826"/>
      <x:c r="V41" s="826"/>
      <x:c r="W41" s="826"/>
      <x:c r="X41" s="826"/>
      <x:c r="Y41" s="826"/>
      <x:c r="Z41" s="826"/>
      <x:c r="AA41" s="826"/>
      <x:c r="AB41" s="826"/>
      <x:c r="AC41" s="826"/>
      <x:c r="AD41" s="826"/>
      <x:c r="AE41" s="826"/>
      <x:c r="AF41" s="826"/>
      <x:c r="AG41" s="826"/>
      <x:c r="AH41" s="826"/>
      <x:c r="AI41" s="826"/>
      <x:c r="AJ41" s="826"/>
      <x:c r="AK41" s="826"/>
      <x:c r="AL41" s="826"/>
      <x:c r="AM41" s="826"/>
      <x:c r="AN41" s="826"/>
      <x:c r="AO41" s="826"/>
      <x:c r="AP41" s="826"/>
      <x:c r="AQ41" s="826"/>
      <x:c r="AR41" s="826"/>
      <x:c r="AS41" s="826"/>
      <x:c r="AT41" s="826"/>
      <x:c r="AU41" s="826"/>
      <x:c r="AV41" s="826"/>
      <x:c r="AW41" s="826"/>
      <x:c r="AX41" s="826"/>
      <x:c r="AY41" s="826"/>
      <x:c r="AZ41" s="826"/>
      <x:c r="BA41" s="826"/>
      <x:c r="BB41" s="826"/>
      <x:c r="BC41" s="826"/>
      <x:c r="BD41" s="826"/>
      <x:c r="BE41" s="826"/>
      <x:c r="BF41" s="826"/>
      <x:c r="BG41" s="826"/>
      <x:c r="BH41" s="826"/>
      <x:c r="BI41" s="826"/>
      <x:c r="BJ41" s="826"/>
    </x:row>
    <x:row r="42" ht="42" customHeight="1">
      <x:c r="A42" s="2"/>
      <x:c r="B42" s="820" t="str">
        <x:v>WBS-3.1</x:v>
      </x:c>
      <x:c r="C42" s="821" t="str">
        <x:f>'작업 상세'!C36</x:f>
        <x:v>개발 환경·서버 기본 구성</x:v>
      </x:c>
      <x:c r="D42" s="837" t="str">
        <x:v>최인영</x:v>
      </x:c>
      <x:c r="E42" s="838" t="n">
        <x:v>46326</x:v>
      </x:c>
      <x:c r="F42" s="838" t="n">
        <x:v>46327</x:v>
      </x:c>
      <x:c r="G42" s="824" t="n">
        <x:f>IF(OR(E42="",F42=""),"",IF(F42&lt;E42,"기간 확인",COUNTIFS($I$10:$BJ$10,"&gt;="&amp;E42,$I$10:$BJ$10,"&lt;="&amp;F42)))</x:f>
        <x:v>2</x:v>
      </x:c>
      <x:c r="H42" s="929" t="str">
        <x:f>IF(OR(NOT(ISNUMBER(E42)),NOT(ISNUMBER(F42)),F42&lt;E42),"날짜 확인",IF(TODAY()&lt;E42,"시작 전",IF(TODAY()&lt;=F42,"진행 중","완료")))</x:f>
        <x:v>시작 전</x:v>
      </x:c>
      <x:c r="I42" s="826"/>
      <x:c r="J42" s="826"/>
      <x:c r="K42" s="826"/>
      <x:c r="L42" s="826"/>
      <x:c r="M42" s="826"/>
      <x:c r="N42" s="826"/>
      <x:c r="O42" s="826"/>
      <x:c r="P42" s="826"/>
      <x:c r="Q42" s="826"/>
      <x:c r="R42" s="826"/>
      <x:c r="S42" s="826"/>
      <x:c r="T42" s="826"/>
      <x:c r="U42" s="826"/>
      <x:c r="V42" s="826"/>
      <x:c r="W42" s="826"/>
      <x:c r="X42" s="826"/>
      <x:c r="Y42" s="826"/>
      <x:c r="Z42" s="826"/>
      <x:c r="AA42" s="826"/>
      <x:c r="AB42" s="826"/>
      <x:c r="AC42" s="826"/>
      <x:c r="AD42" s="826"/>
      <x:c r="AE42" s="826"/>
      <x:c r="AF42" s="826"/>
      <x:c r="AG42" s="826"/>
      <x:c r="AH42" s="826"/>
      <x:c r="AI42" s="826"/>
      <x:c r="AJ42" s="826"/>
      <x:c r="AK42" s="826"/>
      <x:c r="AL42" s="826"/>
      <x:c r="AM42" s="826"/>
      <x:c r="AN42" s="826"/>
      <x:c r="AO42" s="826"/>
      <x:c r="AP42" s="826"/>
      <x:c r="AQ42" s="826"/>
      <x:c r="AR42" s="826"/>
      <x:c r="AS42" s="826"/>
      <x:c r="AT42" s="826"/>
      <x:c r="AU42" s="826"/>
      <x:c r="AV42" s="826"/>
      <x:c r="AW42" s="826"/>
      <x:c r="AX42" s="826"/>
      <x:c r="AY42" s="826"/>
      <x:c r="AZ42" s="826"/>
      <x:c r="BA42" s="826"/>
      <x:c r="BB42" s="826"/>
      <x:c r="BC42" s="826"/>
      <x:c r="BD42" s="826"/>
      <x:c r="BE42" s="826"/>
      <x:c r="BF42" s="826"/>
      <x:c r="BG42" s="826"/>
      <x:c r="BH42" s="826"/>
      <x:c r="BI42" s="826"/>
      <x:c r="BJ42" s="826"/>
    </x:row>
    <x:row r="43" ht="42" customHeight="1">
      <x:c r="A43" s="2"/>
      <x:c r="B43" s="820" t="str">
        <x:v>WBS-3.34</x:v>
      </x:c>
      <x:c r="C43" s="821" t="str">
        <x:f>'작업 상세'!C37</x:f>
        <x:v>DB 스키마·DDL·저장소 명세 작성</x:v>
      </x:c>
      <x:c r="D43" s="837" t="str">
        <x:v>최인영</x:v>
      </x:c>
      <x:c r="E43" s="838" t="n">
        <x:v>46326</x:v>
      </x:c>
      <x:c r="F43" s="838" t="n">
        <x:v>46327</x:v>
      </x:c>
      <x:c r="G43" s="824" t="n">
        <x:f>IF(OR(E43="",F43=""),"",IF(F43&lt;E43,"기간 확인",COUNTIFS($I$10:$BJ$10,"&gt;="&amp;E43,$I$10:$BJ$10,"&lt;="&amp;F43)))</x:f>
        <x:v>2</x:v>
      </x:c>
      <x:c r="H43" s="929" t="str">
        <x:f>IF(OR(NOT(ISNUMBER(E43)),NOT(ISNUMBER(F43)),F43&lt;E43),"날짜 확인",IF(TODAY()&lt;E43,"시작 전",IF(TODAY()&lt;=F43,"진행 중","완료")))</x:f>
        <x:v>시작 전</x:v>
      </x:c>
      <x:c r="I43" s="826"/>
      <x:c r="J43" s="826"/>
      <x:c r="K43" s="826"/>
      <x:c r="L43" s="826"/>
      <x:c r="M43" s="826"/>
      <x:c r="N43" s="826"/>
      <x:c r="O43" s="826"/>
      <x:c r="P43" s="826"/>
      <x:c r="Q43" s="826"/>
      <x:c r="R43" s="826"/>
      <x:c r="S43" s="826"/>
      <x:c r="T43" s="826"/>
      <x:c r="U43" s="826"/>
      <x:c r="V43" s="826"/>
      <x:c r="W43" s="826"/>
      <x:c r="X43" s="826"/>
      <x:c r="Y43" s="826"/>
      <x:c r="Z43" s="826"/>
      <x:c r="AA43" s="826"/>
      <x:c r="AB43" s="826"/>
      <x:c r="AC43" s="826"/>
      <x:c r="AD43" s="826"/>
      <x:c r="AE43" s="826"/>
      <x:c r="AF43" s="826"/>
      <x:c r="AG43" s="826"/>
      <x:c r="AH43" s="826"/>
      <x:c r="AI43" s="826"/>
      <x:c r="AJ43" s="826"/>
      <x:c r="AK43" s="826"/>
      <x:c r="AL43" s="826"/>
      <x:c r="AM43" s="826"/>
      <x:c r="AN43" s="826"/>
      <x:c r="AO43" s="826"/>
      <x:c r="AP43" s="826"/>
      <x:c r="AQ43" s="826"/>
      <x:c r="AR43" s="826"/>
      <x:c r="AS43" s="826"/>
      <x:c r="AT43" s="826"/>
      <x:c r="AU43" s="826"/>
      <x:c r="AV43" s="826"/>
      <x:c r="AW43" s="826"/>
      <x:c r="AX43" s="826"/>
      <x:c r="AY43" s="826"/>
      <x:c r="AZ43" s="826"/>
      <x:c r="BA43" s="826"/>
      <x:c r="BB43" s="826"/>
      <x:c r="BC43" s="826"/>
      <x:c r="BD43" s="826"/>
      <x:c r="BE43" s="826"/>
      <x:c r="BF43" s="826"/>
      <x:c r="BG43" s="826"/>
      <x:c r="BH43" s="826"/>
      <x:c r="BI43" s="826"/>
      <x:c r="BJ43" s="826"/>
    </x:row>
    <x:row r="44" ht="42" customHeight="1">
      <x:c r="A44" s="2"/>
      <x:c r="B44" s="820" t="str">
        <x:v>WBS-3.43</x:v>
      </x:c>
      <x:c r="C44" s="821" t="str">
        <x:f>'작업 상세'!C38</x:f>
        <x:v>자체 평가셋·가상 시나리오 원고 준비</x:v>
      </x:c>
      <x:c r="D44" s="837" t="str">
        <x:v>김태윤</x:v>
      </x:c>
      <x:c r="E44" s="838" t="n">
        <x:v>46326</x:v>
      </x:c>
      <x:c r="F44" s="838" t="n">
        <x:v>46330</x:v>
      </x:c>
      <x:c r="G44" s="824" t="n">
        <x:f>IF(OR(E44="",F44=""),"",IF(F44&lt;E44,"기간 확인",COUNTIFS($I$10:$BJ$10,"&gt;="&amp;E44,$I$10:$BJ$10,"&lt;="&amp;F44)))</x:f>
        <x:v>5</x:v>
      </x:c>
      <x:c r="H44" s="929" t="str">
        <x:f>IF(OR(NOT(ISNUMBER(E44)),NOT(ISNUMBER(F44)),F44&lt;E44),"날짜 확인",IF(TODAY()&lt;E44,"시작 전",IF(TODAY()&lt;=F44,"진행 중","완료")))</x:f>
        <x:v>시작 전</x:v>
      </x:c>
      <x:c r="I44" s="826"/>
      <x:c r="J44" s="826"/>
      <x:c r="K44" s="826"/>
      <x:c r="L44" s="826"/>
      <x:c r="M44" s="826"/>
      <x:c r="N44" s="826"/>
      <x:c r="O44" s="826"/>
      <x:c r="P44" s="826"/>
      <x:c r="Q44" s="826"/>
      <x:c r="R44" s="826"/>
      <x:c r="S44" s="826"/>
      <x:c r="T44" s="826"/>
      <x:c r="U44" s="826"/>
      <x:c r="V44" s="826"/>
      <x:c r="W44" s="826"/>
      <x:c r="X44" s="826"/>
      <x:c r="Y44" s="826"/>
      <x:c r="Z44" s="826"/>
      <x:c r="AA44" s="826"/>
      <x:c r="AB44" s="826"/>
      <x:c r="AC44" s="826"/>
      <x:c r="AD44" s="826"/>
      <x:c r="AE44" s="826"/>
      <x:c r="AF44" s="826"/>
      <x:c r="AG44" s="826"/>
      <x:c r="AH44" s="826"/>
      <x:c r="AI44" s="826"/>
      <x:c r="AJ44" s="826"/>
      <x:c r="AK44" s="826"/>
      <x:c r="AL44" s="826"/>
      <x:c r="AM44" s="826"/>
      <x:c r="AN44" s="826"/>
      <x:c r="AO44" s="826"/>
      <x:c r="AP44" s="826"/>
      <x:c r="AQ44" s="826"/>
      <x:c r="AR44" s="826"/>
      <x:c r="AS44" s="826"/>
      <x:c r="AT44" s="826"/>
      <x:c r="AU44" s="826"/>
      <x:c r="AV44" s="826"/>
      <x:c r="AW44" s="826"/>
      <x:c r="AX44" s="826"/>
      <x:c r="AY44" s="826"/>
      <x:c r="AZ44" s="826"/>
      <x:c r="BA44" s="826"/>
      <x:c r="BB44" s="826"/>
      <x:c r="BC44" s="826"/>
      <x:c r="BD44" s="826"/>
      <x:c r="BE44" s="826"/>
      <x:c r="BF44" s="826"/>
      <x:c r="BG44" s="826"/>
      <x:c r="BH44" s="826"/>
      <x:c r="BI44" s="826"/>
      <x:c r="BJ44" s="826"/>
    </x:row>
    <x:row r="45" ht="42" customHeight="1">
      <x:c r="A45" s="2"/>
      <x:c r="B45" s="820" t="str">
        <x:v>WBS-3.48</x:v>
      </x:c>
      <x:c r="C45" s="821" t="str">
        <x:f>'작업 상세'!C39</x:f>
        <x:v>성취기준 기반 미션 초안·자동 검사 구현</x:v>
      </x:c>
      <x:c r="D45" s="837" t="str">
        <x:v>최성욱</x:v>
      </x:c>
      <x:c r="E45" s="838" t="n">
        <x:v>46326</x:v>
      </x:c>
      <x:c r="F45" s="838" t="n">
        <x:v>46327</x:v>
      </x:c>
      <x:c r="G45" s="824" t="n">
        <x:f>IF(OR(E45="",F45=""),"",IF(F45&lt;E45,"기간 확인",COUNTIFS($I$10:$BJ$10,"&gt;="&amp;E45,$I$10:$BJ$10,"&lt;="&amp;F45)))</x:f>
        <x:v>2</x:v>
      </x:c>
      <x:c r="H45" s="929" t="str">
        <x:f>IF(OR(NOT(ISNUMBER(E45)),NOT(ISNUMBER(F45)),F45&lt;E45),"날짜 확인",IF(TODAY()&lt;E45,"시작 전",IF(TODAY()&lt;=F45,"진행 중","완료")))</x:f>
        <x:v>시작 전</x:v>
      </x:c>
      <x:c r="I45" s="826"/>
      <x:c r="J45" s="826"/>
      <x:c r="K45" s="826"/>
      <x:c r="L45" s="826"/>
      <x:c r="M45" s="826"/>
      <x:c r="N45" s="826"/>
      <x:c r="O45" s="826"/>
      <x:c r="P45" s="826"/>
      <x:c r="Q45" s="826"/>
      <x:c r="R45" s="826"/>
      <x:c r="S45" s="826"/>
      <x:c r="T45" s="826"/>
      <x:c r="U45" s="826"/>
      <x:c r="V45" s="826"/>
      <x:c r="W45" s="826"/>
      <x:c r="X45" s="826"/>
      <x:c r="Y45" s="826"/>
      <x:c r="Z45" s="826"/>
      <x:c r="AA45" s="826"/>
      <x:c r="AB45" s="826"/>
      <x:c r="AC45" s="826"/>
      <x:c r="AD45" s="826"/>
      <x:c r="AE45" s="826"/>
      <x:c r="AF45" s="826"/>
      <x:c r="AG45" s="826"/>
      <x:c r="AH45" s="826"/>
      <x:c r="AI45" s="826"/>
      <x:c r="AJ45" s="826"/>
      <x:c r="AK45" s="826"/>
      <x:c r="AL45" s="826"/>
      <x:c r="AM45" s="826"/>
      <x:c r="AN45" s="826"/>
      <x:c r="AO45" s="826"/>
      <x:c r="AP45" s="826"/>
      <x:c r="AQ45" s="826"/>
      <x:c r="AR45" s="826"/>
      <x:c r="AS45" s="826"/>
      <x:c r="AT45" s="826"/>
      <x:c r="AU45" s="826"/>
      <x:c r="AV45" s="826"/>
      <x:c r="AW45" s="826"/>
      <x:c r="AX45" s="826"/>
      <x:c r="AY45" s="826"/>
      <x:c r="AZ45" s="826"/>
      <x:c r="BA45" s="826"/>
      <x:c r="BB45" s="826"/>
      <x:c r="BC45" s="826"/>
      <x:c r="BD45" s="826"/>
      <x:c r="BE45" s="826"/>
      <x:c r="BF45" s="826"/>
      <x:c r="BG45" s="826"/>
      <x:c r="BH45" s="826"/>
      <x:c r="BI45" s="826"/>
      <x:c r="BJ45" s="826"/>
    </x:row>
    <x:row r="46" ht="42" customHeight="1">
      <x:c r="A46" s="2"/>
      <x:c r="B46" s="820" t="str">
        <x:v>WBS-3.2</x:v>
      </x:c>
      <x:c r="C46" s="821" t="str">
        <x:f>'작업 상세'!C40</x:f>
        <x:v>가입·로그인·동의 구현</x:v>
      </x:c>
      <x:c r="D46" s="837" t="str">
        <x:v>최인영</x:v>
      </x:c>
      <x:c r="E46" s="838" t="n">
        <x:v>46328</x:v>
      </x:c>
      <x:c r="F46" s="838" t="n">
        <x:v>46329</x:v>
      </x:c>
      <x:c r="G46" s="824" t="n">
        <x:f>IF(OR(E46="",F46=""),"",IF(F46&lt;E46,"기간 확인",COUNTIFS($I$10:$BJ$10,"&gt;="&amp;E46,$I$10:$BJ$10,"&lt;="&amp;F46)))</x:f>
        <x:v>2</x:v>
      </x:c>
      <x:c r="H46" s="929" t="str">
        <x:f>IF(OR(NOT(ISNUMBER(E46)),NOT(ISNUMBER(F46)),F46&lt;E46),"날짜 확인",IF(TODAY()&lt;E46,"시작 전",IF(TODAY()&lt;=F46,"진행 중","완료")))</x:f>
        <x:v>시작 전</x:v>
      </x:c>
      <x:c r="I46" s="826"/>
      <x:c r="J46" s="826"/>
      <x:c r="K46" s="826"/>
      <x:c r="L46" s="826"/>
      <x:c r="M46" s="826"/>
      <x:c r="N46" s="826"/>
      <x:c r="O46" s="826"/>
      <x:c r="P46" s="826"/>
      <x:c r="Q46" s="826"/>
      <x:c r="R46" s="826"/>
      <x:c r="S46" s="826"/>
      <x:c r="T46" s="826"/>
      <x:c r="U46" s="826"/>
      <x:c r="V46" s="826"/>
      <x:c r="W46" s="826"/>
      <x:c r="X46" s="826"/>
      <x:c r="Y46" s="826"/>
      <x:c r="Z46" s="826"/>
      <x:c r="AA46" s="826"/>
      <x:c r="AB46" s="826"/>
      <x:c r="AC46" s="826"/>
      <x:c r="AD46" s="826"/>
      <x:c r="AE46" s="826"/>
      <x:c r="AF46" s="826"/>
      <x:c r="AG46" s="826"/>
      <x:c r="AH46" s="826"/>
      <x:c r="AI46" s="826"/>
      <x:c r="AJ46" s="826"/>
      <x:c r="AK46" s="826"/>
      <x:c r="AL46" s="826"/>
      <x:c r="AM46" s="826"/>
      <x:c r="AN46" s="826"/>
      <x:c r="AO46" s="826"/>
      <x:c r="AP46" s="826"/>
      <x:c r="AQ46" s="826"/>
      <x:c r="AR46" s="826"/>
      <x:c r="AS46" s="826"/>
      <x:c r="AT46" s="826"/>
      <x:c r="AU46" s="826"/>
      <x:c r="AV46" s="826"/>
      <x:c r="AW46" s="826"/>
      <x:c r="AX46" s="826"/>
      <x:c r="AY46" s="826"/>
      <x:c r="AZ46" s="826"/>
      <x:c r="BA46" s="826"/>
      <x:c r="BB46" s="826"/>
      <x:c r="BC46" s="826"/>
      <x:c r="BD46" s="826"/>
      <x:c r="BE46" s="826"/>
      <x:c r="BF46" s="826"/>
      <x:c r="BG46" s="826"/>
      <x:c r="BH46" s="826"/>
      <x:c r="BI46" s="826"/>
      <x:c r="BJ46" s="826"/>
    </x:row>
    <x:row r="47" ht="42" customHeight="1">
      <x:c r="A47" s="2"/>
      <x:c r="B47" s="820" t="str">
        <x:v>WBS-3.5</x:v>
      </x:c>
      <x:c r="C47" s="821" t="str">
        <x:f>'작업 상세'!C41</x:f>
        <x:v>자체 미션·기준표 콘텐츠 제작</x:v>
      </x:c>
      <x:c r="D47" s="837" t="str">
        <x:v>김동섭</x:v>
      </x:c>
      <x:c r="E47" s="838" t="n">
        <x:v>46328</x:v>
      </x:c>
      <x:c r="F47" s="838" t="n">
        <x:v>46339</x:v>
      </x:c>
      <x:c r="G47" s="824" t="n">
        <x:f>IF(OR(E47="",F47=""),"",IF(F47&lt;E47,"기간 확인",COUNTIFS($I$10:$BJ$10,"&gt;="&amp;E47,$I$10:$BJ$10,"&lt;="&amp;F47)))</x:f>
        <x:v>12</x:v>
      </x:c>
      <x:c r="H47" s="929" t="str">
        <x:f>IF(OR(NOT(ISNUMBER(E47)),NOT(ISNUMBER(F47)),F47&lt;E47),"날짜 확인",IF(TODAY()&lt;E47,"시작 전",IF(TODAY()&lt;=F47,"진행 중","완료")))</x:f>
        <x:v>시작 전</x:v>
      </x:c>
      <x:c r="I47" s="826"/>
      <x:c r="J47" s="826"/>
      <x:c r="K47" s="826"/>
      <x:c r="L47" s="826"/>
      <x:c r="M47" s="826"/>
      <x:c r="N47" s="826"/>
      <x:c r="O47" s="826"/>
      <x:c r="P47" s="826"/>
      <x:c r="Q47" s="826"/>
      <x:c r="R47" s="826"/>
      <x:c r="S47" s="826"/>
      <x:c r="T47" s="826"/>
      <x:c r="U47" s="826"/>
      <x:c r="V47" s="826"/>
      <x:c r="W47" s="826"/>
      <x:c r="X47" s="826"/>
      <x:c r="Y47" s="826"/>
      <x:c r="Z47" s="826"/>
      <x:c r="AA47" s="826"/>
      <x:c r="AB47" s="826"/>
      <x:c r="AC47" s="826"/>
      <x:c r="AD47" s="826"/>
      <x:c r="AE47" s="826"/>
      <x:c r="AF47" s="826"/>
      <x:c r="AG47" s="826"/>
      <x:c r="AH47" s="826"/>
      <x:c r="AI47" s="826"/>
      <x:c r="AJ47" s="826"/>
      <x:c r="AK47" s="826"/>
      <x:c r="AL47" s="826"/>
      <x:c r="AM47" s="826"/>
      <x:c r="AN47" s="826"/>
      <x:c r="AO47" s="826"/>
      <x:c r="AP47" s="826"/>
      <x:c r="AQ47" s="826"/>
      <x:c r="AR47" s="826"/>
      <x:c r="AS47" s="826"/>
      <x:c r="AT47" s="826"/>
      <x:c r="AU47" s="826"/>
      <x:c r="AV47" s="826"/>
      <x:c r="AW47" s="826"/>
      <x:c r="AX47" s="826"/>
      <x:c r="AY47" s="826"/>
      <x:c r="AZ47" s="826"/>
      <x:c r="BA47" s="826"/>
      <x:c r="BB47" s="826"/>
      <x:c r="BC47" s="826"/>
      <x:c r="BD47" s="826"/>
      <x:c r="BE47" s="826"/>
      <x:c r="BF47" s="826"/>
      <x:c r="BG47" s="826"/>
      <x:c r="BH47" s="826"/>
      <x:c r="BI47" s="826"/>
      <x:c r="BJ47" s="826"/>
    </x:row>
    <x:row r="48" ht="42" customHeight="1">
      <x:c r="A48" s="2"/>
      <x:c r="B48" s="820" t="str">
        <x:v>WBS-3.6</x:v>
      </x:c>
      <x:c r="C48" s="821" t="str">
        <x:f>'작업 상세'!C42</x:f>
        <x:v>관리자 문제 운영 화면 구현</x:v>
      </x:c>
      <x:c r="D48" s="837" t="str">
        <x:v>황수빈</x:v>
      </x:c>
      <x:c r="E48" s="838" t="n">
        <x:v>46328</x:v>
      </x:c>
      <x:c r="F48" s="838" t="n">
        <x:v>46329</x:v>
      </x:c>
      <x:c r="G48" s="824" t="n">
        <x:f>IF(OR(E48="",F48=""),"",IF(F48&lt;E48,"기간 확인",COUNTIFS($I$10:$BJ$10,"&gt;="&amp;E48,$I$10:$BJ$10,"&lt;="&amp;F48)))</x:f>
        <x:v>2</x:v>
      </x:c>
      <x:c r="H48" s="929" t="str">
        <x:f>IF(OR(NOT(ISNUMBER(E48)),NOT(ISNUMBER(F48)),F48&lt;E48),"날짜 확인",IF(TODAY()&lt;E48,"시작 전",IF(TODAY()&lt;=F48,"진행 중","완료")))</x:f>
        <x:v>시작 전</x:v>
      </x:c>
      <x:c r="I48" s="826"/>
      <x:c r="J48" s="826"/>
      <x:c r="K48" s="826"/>
      <x:c r="L48" s="826"/>
      <x:c r="M48" s="826"/>
      <x:c r="N48" s="826"/>
      <x:c r="O48" s="826"/>
      <x:c r="P48" s="826"/>
      <x:c r="Q48" s="826"/>
      <x:c r="R48" s="826"/>
      <x:c r="S48" s="826"/>
      <x:c r="T48" s="826"/>
      <x:c r="U48" s="826"/>
      <x:c r="V48" s="826"/>
      <x:c r="W48" s="826"/>
      <x:c r="X48" s="826"/>
      <x:c r="Y48" s="826"/>
      <x:c r="Z48" s="826"/>
      <x:c r="AA48" s="826"/>
      <x:c r="AB48" s="826"/>
      <x:c r="AC48" s="826"/>
      <x:c r="AD48" s="826"/>
      <x:c r="AE48" s="826"/>
      <x:c r="AF48" s="826"/>
      <x:c r="AG48" s="826"/>
      <x:c r="AH48" s="826"/>
      <x:c r="AI48" s="826"/>
      <x:c r="AJ48" s="826"/>
      <x:c r="AK48" s="826"/>
      <x:c r="AL48" s="826"/>
      <x:c r="AM48" s="826"/>
      <x:c r="AN48" s="826"/>
      <x:c r="AO48" s="826"/>
      <x:c r="AP48" s="826"/>
      <x:c r="AQ48" s="826"/>
      <x:c r="AR48" s="826"/>
      <x:c r="AS48" s="826"/>
      <x:c r="AT48" s="826"/>
      <x:c r="AU48" s="826"/>
      <x:c r="AV48" s="826"/>
      <x:c r="AW48" s="826"/>
      <x:c r="AX48" s="826"/>
      <x:c r="AY48" s="826"/>
      <x:c r="AZ48" s="826"/>
      <x:c r="BA48" s="826"/>
      <x:c r="BB48" s="826"/>
      <x:c r="BC48" s="826"/>
      <x:c r="BD48" s="826"/>
      <x:c r="BE48" s="826"/>
      <x:c r="BF48" s="826"/>
      <x:c r="BG48" s="826"/>
      <x:c r="BH48" s="826"/>
      <x:c r="BI48" s="826"/>
      <x:c r="BJ48" s="826"/>
    </x:row>
    <x:row r="49" ht="42" customHeight="1">
      <x:c r="A49" s="2"/>
      <x:c r="B49" s="820" t="str">
        <x:v>WBS-3.10</x:v>
      </x:c>
      <x:c r="C49" s="821" t="str">
        <x:f>'작업 상세'!C43</x:f>
        <x:v>규칙 판정·근거 대조 구현</x:v>
      </x:c>
      <x:c r="D49" s="837" t="str">
        <x:v>최성욱</x:v>
      </x:c>
      <x:c r="E49" s="838" t="n">
        <x:v>46328</x:v>
      </x:c>
      <x:c r="F49" s="838" t="n">
        <x:v>46330</x:v>
      </x:c>
      <x:c r="G49" s="824" t="n">
        <x:f>IF(OR(E49="",F49=""),"",IF(F49&lt;E49,"기간 확인",COUNTIFS($I$10:$BJ$10,"&gt;="&amp;E49,$I$10:$BJ$10,"&lt;="&amp;F49)))</x:f>
        <x:v>3</x:v>
      </x:c>
      <x:c r="H49" s="929" t="str">
        <x:f>IF(OR(NOT(ISNUMBER(E49)),NOT(ISNUMBER(F49)),F49&lt;E49),"날짜 확인",IF(TODAY()&lt;E49,"시작 전",IF(TODAY()&lt;=F49,"진행 중","완료")))</x:f>
        <x:v>시작 전</x:v>
      </x:c>
      <x:c r="I49" s="826"/>
      <x:c r="J49" s="826"/>
      <x:c r="K49" s="826"/>
      <x:c r="L49" s="826"/>
      <x:c r="M49" s="826"/>
      <x:c r="N49" s="826"/>
      <x:c r="O49" s="826"/>
      <x:c r="P49" s="826"/>
      <x:c r="Q49" s="826"/>
      <x:c r="R49" s="826"/>
      <x:c r="S49" s="826"/>
      <x:c r="T49" s="826"/>
      <x:c r="U49" s="826"/>
      <x:c r="V49" s="826"/>
      <x:c r="W49" s="826"/>
      <x:c r="X49" s="826"/>
      <x:c r="Y49" s="826"/>
      <x:c r="Z49" s="826"/>
      <x:c r="AA49" s="826"/>
      <x:c r="AB49" s="826"/>
      <x:c r="AC49" s="826"/>
      <x:c r="AD49" s="826"/>
      <x:c r="AE49" s="826"/>
      <x:c r="AF49" s="826"/>
      <x:c r="AG49" s="826"/>
      <x:c r="AH49" s="826"/>
      <x:c r="AI49" s="826"/>
      <x:c r="AJ49" s="826"/>
      <x:c r="AK49" s="826"/>
      <x:c r="AL49" s="826"/>
      <x:c r="AM49" s="826"/>
      <x:c r="AN49" s="826"/>
      <x:c r="AO49" s="826"/>
      <x:c r="AP49" s="826"/>
      <x:c r="AQ49" s="826"/>
      <x:c r="AR49" s="826"/>
      <x:c r="AS49" s="826"/>
      <x:c r="AT49" s="826"/>
      <x:c r="AU49" s="826"/>
      <x:c r="AV49" s="826"/>
      <x:c r="AW49" s="826"/>
      <x:c r="AX49" s="826"/>
      <x:c r="AY49" s="826"/>
      <x:c r="AZ49" s="826"/>
      <x:c r="BA49" s="826"/>
      <x:c r="BB49" s="826"/>
      <x:c r="BC49" s="826"/>
      <x:c r="BD49" s="826"/>
      <x:c r="BE49" s="826"/>
      <x:c r="BF49" s="826"/>
      <x:c r="BG49" s="826"/>
      <x:c r="BH49" s="826"/>
      <x:c r="BI49" s="826"/>
      <x:c r="BJ49" s="826"/>
    </x:row>
    <x:row r="50" ht="42" customHeight="1">
      <x:c r="A50" s="2"/>
      <x:c r="B50" s="820" t="str">
        <x:v>WBS-3.27</x:v>
      </x:c>
      <x:c r="C50" s="821" t="str">
        <x:f>'작업 상세'!C44</x:f>
        <x:v>M2 학습·기준선 산출</x:v>
      </x:c>
      <x:c r="D50" s="837" t="str">
        <x:v>김재현</x:v>
      </x:c>
      <x:c r="E50" s="838" t="n">
        <x:v>46328</x:v>
      </x:c>
      <x:c r="F50" s="838" t="n">
        <x:v>46336</x:v>
      </x:c>
      <x:c r="G50" s="824" t="n">
        <x:f>IF(OR(E50="",F50=""),"",IF(F50&lt;E50,"기간 확인",COUNTIFS($I$10:$BJ$10,"&gt;="&amp;E50,$I$10:$BJ$10,"&lt;="&amp;F50)))</x:f>
        <x:v>9</x:v>
      </x:c>
      <x:c r="H50" s="929" t="str">
        <x:f>IF(OR(NOT(ISNUMBER(E50)),NOT(ISNUMBER(F50)),F50&lt;E50),"날짜 확인",IF(TODAY()&lt;E50,"시작 전",IF(TODAY()&lt;=F50,"진행 중","완료")))</x:f>
        <x:v>시작 전</x:v>
      </x:c>
      <x:c r="I50" s="826"/>
      <x:c r="J50" s="826"/>
      <x:c r="K50" s="826"/>
      <x:c r="L50" s="826"/>
      <x:c r="M50" s="826"/>
      <x:c r="N50" s="826"/>
      <x:c r="O50" s="826"/>
      <x:c r="P50" s="826"/>
      <x:c r="Q50" s="826"/>
      <x:c r="R50" s="826"/>
      <x:c r="S50" s="826"/>
      <x:c r="T50" s="826"/>
      <x:c r="U50" s="826"/>
      <x:c r="V50" s="826"/>
      <x:c r="W50" s="826"/>
      <x:c r="X50" s="826"/>
      <x:c r="Y50" s="826"/>
      <x:c r="Z50" s="826"/>
      <x:c r="AA50" s="826"/>
      <x:c r="AB50" s="826"/>
      <x:c r="AC50" s="826"/>
      <x:c r="AD50" s="826"/>
      <x:c r="AE50" s="826"/>
      <x:c r="AF50" s="826"/>
      <x:c r="AG50" s="826"/>
      <x:c r="AH50" s="826"/>
      <x:c r="AI50" s="826"/>
      <x:c r="AJ50" s="826"/>
      <x:c r="AK50" s="826"/>
      <x:c r="AL50" s="826"/>
      <x:c r="AM50" s="826"/>
      <x:c r="AN50" s="826"/>
      <x:c r="AO50" s="826"/>
      <x:c r="AP50" s="826"/>
      <x:c r="AQ50" s="826"/>
      <x:c r="AR50" s="826"/>
      <x:c r="AS50" s="826"/>
      <x:c r="AT50" s="826"/>
      <x:c r="AU50" s="826"/>
      <x:c r="AV50" s="826"/>
      <x:c r="AW50" s="826"/>
      <x:c r="AX50" s="826"/>
      <x:c r="AY50" s="826"/>
      <x:c r="AZ50" s="826"/>
      <x:c r="BA50" s="826"/>
      <x:c r="BB50" s="826"/>
      <x:c r="BC50" s="826"/>
      <x:c r="BD50" s="826"/>
      <x:c r="BE50" s="826"/>
      <x:c r="BF50" s="826"/>
      <x:c r="BG50" s="826"/>
      <x:c r="BH50" s="826"/>
      <x:c r="BI50" s="826"/>
      <x:c r="BJ50" s="826"/>
    </x:row>
    <x:row r="51" ht="42" customHeight="1">
      <x:c r="A51" s="2"/>
      <x:c r="B51" s="820" t="str">
        <x:v>WBS-3.3</x:v>
      </x:c>
      <x:c r="C51" s="821" t="str">
        <x:f>'작업 상세'!C45</x:f>
        <x:v>자녀 연결·접근 권한 구현</x:v>
      </x:c>
      <x:c r="D51" s="837" t="str">
        <x:v>최인영</x:v>
      </x:c>
      <x:c r="E51" s="838" t="n">
        <x:v>46330</x:v>
      </x:c>
      <x:c r="F51" s="838" t="n">
        <x:v>46331</x:v>
      </x:c>
      <x:c r="G51" s="824" t="n">
        <x:f>IF(OR(E51="",F51=""),"",IF(F51&lt;E51,"기간 확인",COUNTIFS($I$10:$BJ$10,"&gt;="&amp;E51,$I$10:$BJ$10,"&lt;="&amp;F51)))</x:f>
        <x:v>2</x:v>
      </x:c>
      <x:c r="H51" s="929" t="str">
        <x:f>IF(OR(NOT(ISNUMBER(E51)),NOT(ISNUMBER(F51)),F51&lt;E51),"날짜 확인",IF(TODAY()&lt;E51,"시작 전",IF(TODAY()&lt;=F51,"진행 중","완료")))</x:f>
        <x:v>시작 전</x:v>
      </x:c>
      <x:c r="I51" s="826"/>
      <x:c r="J51" s="826"/>
      <x:c r="K51" s="826"/>
      <x:c r="L51" s="826"/>
      <x:c r="M51" s="826"/>
      <x:c r="N51" s="826"/>
      <x:c r="O51" s="826"/>
      <x:c r="P51" s="826"/>
      <x:c r="Q51" s="826"/>
      <x:c r="R51" s="826"/>
      <x:c r="S51" s="826"/>
      <x:c r="T51" s="826"/>
      <x:c r="U51" s="826"/>
      <x:c r="V51" s="826"/>
      <x:c r="W51" s="826"/>
      <x:c r="X51" s="826"/>
      <x:c r="Y51" s="826"/>
      <x:c r="Z51" s="826"/>
      <x:c r="AA51" s="826"/>
      <x:c r="AB51" s="826"/>
      <x:c r="AC51" s="826"/>
      <x:c r="AD51" s="826"/>
      <x:c r="AE51" s="826"/>
      <x:c r="AF51" s="826"/>
      <x:c r="AG51" s="826"/>
      <x:c r="AH51" s="826"/>
      <x:c r="AI51" s="826"/>
      <x:c r="AJ51" s="826"/>
      <x:c r="AK51" s="826"/>
      <x:c r="AL51" s="826"/>
      <x:c r="AM51" s="826"/>
      <x:c r="AN51" s="826"/>
      <x:c r="AO51" s="826"/>
      <x:c r="AP51" s="826"/>
      <x:c r="AQ51" s="826"/>
      <x:c r="AR51" s="826"/>
      <x:c r="AS51" s="826"/>
      <x:c r="AT51" s="826"/>
      <x:c r="AU51" s="826"/>
      <x:c r="AV51" s="826"/>
      <x:c r="AW51" s="826"/>
      <x:c r="AX51" s="826"/>
      <x:c r="AY51" s="826"/>
      <x:c r="AZ51" s="826"/>
      <x:c r="BA51" s="826"/>
      <x:c r="BB51" s="826"/>
      <x:c r="BC51" s="826"/>
      <x:c r="BD51" s="826"/>
      <x:c r="BE51" s="826"/>
      <x:c r="BF51" s="826"/>
      <x:c r="BG51" s="826"/>
      <x:c r="BH51" s="826"/>
      <x:c r="BI51" s="826"/>
      <x:c r="BJ51" s="826"/>
    </x:row>
    <x:row r="52" ht="42" customHeight="1">
      <x:c r="A52" s="2"/>
      <x:c r="B52" s="820" t="str">
        <x:v>WBS-3.7</x:v>
      </x:c>
      <x:c r="C52" s="821" t="str">
        <x:f>'작업 상세'!C46</x:f>
        <x:v>미션 탐색·입력 화면 구현</x:v>
      </x:c>
      <x:c r="D52" s="837" t="str">
        <x:v>황수빈</x:v>
      </x:c>
      <x:c r="E52" s="838" t="n">
        <x:v>46330</x:v>
      </x:c>
      <x:c r="F52" s="838" t="n">
        <x:v>46332</x:v>
      </x:c>
      <x:c r="G52" s="824" t="n">
        <x:f>IF(OR(E52="",F52=""),"",IF(F52&lt;E52,"기간 확인",COUNTIFS($I$10:$BJ$10,"&gt;="&amp;E52,$I$10:$BJ$10,"&lt;="&amp;F52)))</x:f>
        <x:v>3</x:v>
      </x:c>
      <x:c r="H52" s="929" t="str">
        <x:f>IF(OR(NOT(ISNUMBER(E52)),NOT(ISNUMBER(F52)),F52&lt;E52),"날짜 확인",IF(TODAY()&lt;E52,"시작 전",IF(TODAY()&lt;=F52,"진행 중","완료")))</x:f>
        <x:v>시작 전</x:v>
      </x:c>
      <x:c r="I52" s="826"/>
      <x:c r="J52" s="826"/>
      <x:c r="K52" s="826"/>
      <x:c r="L52" s="826"/>
      <x:c r="M52" s="826"/>
      <x:c r="N52" s="826"/>
      <x:c r="O52" s="826"/>
      <x:c r="P52" s="826"/>
      <x:c r="Q52" s="826"/>
      <x:c r="R52" s="826"/>
      <x:c r="S52" s="826"/>
      <x:c r="T52" s="826"/>
      <x:c r="U52" s="826"/>
      <x:c r="V52" s="826"/>
      <x:c r="W52" s="826"/>
      <x:c r="X52" s="826"/>
      <x:c r="Y52" s="826"/>
      <x:c r="Z52" s="826"/>
      <x:c r="AA52" s="826"/>
      <x:c r="AB52" s="826"/>
      <x:c r="AC52" s="826"/>
      <x:c r="AD52" s="826"/>
      <x:c r="AE52" s="826"/>
      <x:c r="AF52" s="826"/>
      <x:c r="AG52" s="826"/>
      <x:c r="AH52" s="826"/>
      <x:c r="AI52" s="826"/>
      <x:c r="AJ52" s="826"/>
      <x:c r="AK52" s="826"/>
      <x:c r="AL52" s="826"/>
      <x:c r="AM52" s="826"/>
      <x:c r="AN52" s="826"/>
      <x:c r="AO52" s="826"/>
      <x:c r="AP52" s="826"/>
      <x:c r="AQ52" s="826"/>
      <x:c r="AR52" s="826"/>
      <x:c r="AS52" s="826"/>
      <x:c r="AT52" s="826"/>
      <x:c r="AU52" s="826"/>
      <x:c r="AV52" s="826"/>
      <x:c r="AW52" s="826"/>
      <x:c r="AX52" s="826"/>
      <x:c r="AY52" s="826"/>
      <x:c r="AZ52" s="826"/>
      <x:c r="BA52" s="826"/>
      <x:c r="BB52" s="826"/>
      <x:c r="BC52" s="826"/>
      <x:c r="BD52" s="826"/>
      <x:c r="BE52" s="826"/>
      <x:c r="BF52" s="826"/>
      <x:c r="BG52" s="826"/>
      <x:c r="BH52" s="826"/>
      <x:c r="BI52" s="826"/>
      <x:c r="BJ52" s="826"/>
    </x:row>
    <x:row r="53" ht="42" customHeight="1">
      <x:c r="A53" s="2"/>
      <x:c r="B53" s="820" t="str">
        <x:v>WBS-3.11</x:v>
      </x:c>
      <x:c r="C53" s="821" t="str">
        <x:f>'작업 상세'!C47</x:f>
        <x:v>학생 되묻기·대화 구현</x:v>
      </x:c>
      <x:c r="D53" s="837" t="str">
        <x:v>최성욱</x:v>
      </x:c>
      <x:c r="E53" s="838" t="n">
        <x:v>46331</x:v>
      </x:c>
      <x:c r="F53" s="838" t="n">
        <x:v>46333</x:v>
      </x:c>
      <x:c r="G53" s="824" t="n">
        <x:f>IF(OR(E53="",F53=""),"",IF(F53&lt;E53,"기간 확인",COUNTIFS($I$10:$BJ$10,"&gt;="&amp;E53,$I$10:$BJ$10,"&lt;="&amp;F53)))</x:f>
        <x:v>3</x:v>
      </x:c>
      <x:c r="H53" s="929" t="str">
        <x:f>IF(OR(NOT(ISNUMBER(E53)),NOT(ISNUMBER(F53)),F53&lt;E53),"날짜 확인",IF(TODAY()&lt;E53,"시작 전",IF(TODAY()&lt;=F53,"진행 중","완료")))</x:f>
        <x:v>시작 전</x:v>
      </x:c>
      <x:c r="I53" s="826"/>
      <x:c r="J53" s="826"/>
      <x:c r="K53" s="826"/>
      <x:c r="L53" s="826"/>
      <x:c r="M53" s="826"/>
      <x:c r="N53" s="826"/>
      <x:c r="O53" s="826"/>
      <x:c r="P53" s="826"/>
      <x:c r="Q53" s="826"/>
      <x:c r="R53" s="826"/>
      <x:c r="S53" s="826"/>
      <x:c r="T53" s="826"/>
      <x:c r="U53" s="826"/>
      <x:c r="V53" s="826"/>
      <x:c r="W53" s="826"/>
      <x:c r="X53" s="826"/>
      <x:c r="Y53" s="826"/>
      <x:c r="Z53" s="826"/>
      <x:c r="AA53" s="826"/>
      <x:c r="AB53" s="826"/>
      <x:c r="AC53" s="826"/>
      <x:c r="AD53" s="826"/>
      <x:c r="AE53" s="826"/>
      <x:c r="AF53" s="826"/>
      <x:c r="AG53" s="826"/>
      <x:c r="AH53" s="826"/>
      <x:c r="AI53" s="826"/>
      <x:c r="AJ53" s="826"/>
      <x:c r="AK53" s="826"/>
      <x:c r="AL53" s="826"/>
      <x:c r="AM53" s="826"/>
      <x:c r="AN53" s="826"/>
      <x:c r="AO53" s="826"/>
      <x:c r="AP53" s="826"/>
      <x:c r="AQ53" s="826"/>
      <x:c r="AR53" s="826"/>
      <x:c r="AS53" s="826"/>
      <x:c r="AT53" s="826"/>
      <x:c r="AU53" s="826"/>
      <x:c r="AV53" s="826"/>
      <x:c r="AW53" s="826"/>
      <x:c r="AX53" s="826"/>
      <x:c r="AY53" s="826"/>
      <x:c r="AZ53" s="826"/>
      <x:c r="BA53" s="826"/>
      <x:c r="BB53" s="826"/>
      <x:c r="BC53" s="826"/>
      <x:c r="BD53" s="826"/>
      <x:c r="BE53" s="826"/>
      <x:c r="BF53" s="826"/>
      <x:c r="BG53" s="826"/>
      <x:c r="BH53" s="826"/>
      <x:c r="BI53" s="826"/>
      <x:c r="BJ53" s="826"/>
    </x:row>
    <x:row r="54" ht="42" customHeight="1">
      <x:c r="A54" s="2"/>
      <x:c r="B54" s="820" t="str">
        <x:v>WBS-3.44</x:v>
      </x:c>
      <x:c r="C54" s="821" t="str">
        <x:f>'작업 상세'!C48</x:f>
        <x:v>M2 독립 채점 자료·보정 절차 준비</x:v>
      </x:c>
      <x:c r="D54" s="837" t="str">
        <x:v>김태윤</x:v>
      </x:c>
      <x:c r="E54" s="838" t="n">
        <x:v>46331</x:v>
      </x:c>
      <x:c r="F54" s="838" t="n">
        <x:v>46333</x:v>
      </x:c>
      <x:c r="G54" s="824" t="n">
        <x:f>IF(OR(E54="",F54=""),"",IF(F54&lt;E54,"기간 확인",COUNTIFS($I$10:$BJ$10,"&gt;="&amp;E54,$I$10:$BJ$10,"&lt;="&amp;F54)))</x:f>
        <x:v>3</x:v>
      </x:c>
      <x:c r="H54" s="929" t="str">
        <x:f>IF(OR(NOT(ISNUMBER(E54)),NOT(ISNUMBER(F54)),F54&lt;E54),"날짜 확인",IF(TODAY()&lt;E54,"시작 전",IF(TODAY()&lt;=F54,"진행 중","완료")))</x:f>
        <x:v>시작 전</x:v>
      </x:c>
      <x:c r="I54" s="826"/>
      <x:c r="J54" s="826"/>
      <x:c r="K54" s="826"/>
      <x:c r="L54" s="826"/>
      <x:c r="M54" s="826"/>
      <x:c r="N54" s="826"/>
      <x:c r="O54" s="826"/>
      <x:c r="P54" s="826"/>
      <x:c r="Q54" s="826"/>
      <x:c r="R54" s="826"/>
      <x:c r="S54" s="826"/>
      <x:c r="T54" s="826"/>
      <x:c r="U54" s="826"/>
      <x:c r="V54" s="826"/>
      <x:c r="W54" s="826"/>
      <x:c r="X54" s="826"/>
      <x:c r="Y54" s="826"/>
      <x:c r="Z54" s="826"/>
      <x:c r="AA54" s="826"/>
      <x:c r="AB54" s="826"/>
      <x:c r="AC54" s="826"/>
      <x:c r="AD54" s="826"/>
      <x:c r="AE54" s="826"/>
      <x:c r="AF54" s="826"/>
      <x:c r="AG54" s="826"/>
      <x:c r="AH54" s="826"/>
      <x:c r="AI54" s="826"/>
      <x:c r="AJ54" s="826"/>
      <x:c r="AK54" s="826"/>
      <x:c r="AL54" s="826"/>
      <x:c r="AM54" s="826"/>
      <x:c r="AN54" s="826"/>
      <x:c r="AO54" s="826"/>
      <x:c r="AP54" s="826"/>
      <x:c r="AQ54" s="826"/>
      <x:c r="AR54" s="826"/>
      <x:c r="AS54" s="826"/>
      <x:c r="AT54" s="826"/>
      <x:c r="AU54" s="826"/>
      <x:c r="AV54" s="826"/>
      <x:c r="AW54" s="826"/>
      <x:c r="AX54" s="826"/>
      <x:c r="AY54" s="826"/>
      <x:c r="AZ54" s="826"/>
      <x:c r="BA54" s="826"/>
      <x:c r="BB54" s="826"/>
      <x:c r="BC54" s="826"/>
      <x:c r="BD54" s="826"/>
      <x:c r="BE54" s="826"/>
      <x:c r="BF54" s="826"/>
      <x:c r="BG54" s="826"/>
      <x:c r="BH54" s="826"/>
      <x:c r="BI54" s="826"/>
      <x:c r="BJ54" s="826"/>
    </x:row>
    <x:row r="55" ht="42" customHeight="1">
      <x:c r="A55" s="2"/>
      <x:c r="B55" s="820" t="str">
        <x:v>WBS-3.4</x:v>
      </x:c>
      <x:c r="C55" s="821" t="str">
        <x:f>'작업 상세'!C49</x:f>
        <x:v>계정 복구·수정·탈퇴 구현</x:v>
      </x:c>
      <x:c r="D55" s="837" t="str">
        <x:v>최인영</x:v>
      </x:c>
      <x:c r="E55" s="838" t="n">
        <x:v>46332</x:v>
      </x:c>
      <x:c r="F55" s="838" t="n">
        <x:v>46332</x:v>
      </x:c>
      <x:c r="G55" s="824" t="n">
        <x:f>IF(OR(E55="",F55=""),"",IF(F55&lt;E55,"기간 확인",COUNTIFS($I$10:$BJ$10,"&gt;="&amp;E55,$I$10:$BJ$10,"&lt;="&amp;F55)))</x:f>
        <x:v>1</x:v>
      </x:c>
      <x:c r="H55" s="929" t="str">
        <x:f>IF(OR(NOT(ISNUMBER(E55)),NOT(ISNUMBER(F55)),F55&lt;E55),"날짜 확인",IF(TODAY()&lt;E55,"시작 전",IF(TODAY()&lt;=F55,"진행 중","완료")))</x:f>
        <x:v>시작 전</x:v>
      </x:c>
      <x:c r="I55" s="826"/>
      <x:c r="J55" s="826"/>
      <x:c r="K55" s="826"/>
      <x:c r="L55" s="826"/>
      <x:c r="M55" s="826"/>
      <x:c r="N55" s="826"/>
      <x:c r="O55" s="826"/>
      <x:c r="P55" s="826"/>
      <x:c r="Q55" s="826"/>
      <x:c r="R55" s="826"/>
      <x:c r="S55" s="826"/>
      <x:c r="T55" s="826"/>
      <x:c r="U55" s="826"/>
      <x:c r="V55" s="826"/>
      <x:c r="W55" s="826"/>
      <x:c r="X55" s="826"/>
      <x:c r="Y55" s="826"/>
      <x:c r="Z55" s="826"/>
      <x:c r="AA55" s="826"/>
      <x:c r="AB55" s="826"/>
      <x:c r="AC55" s="826"/>
      <x:c r="AD55" s="826"/>
      <x:c r="AE55" s="826"/>
      <x:c r="AF55" s="826"/>
      <x:c r="AG55" s="826"/>
      <x:c r="AH55" s="826"/>
      <x:c r="AI55" s="826"/>
      <x:c r="AJ55" s="826"/>
      <x:c r="AK55" s="826"/>
      <x:c r="AL55" s="826"/>
      <x:c r="AM55" s="826"/>
      <x:c r="AN55" s="826"/>
      <x:c r="AO55" s="826"/>
      <x:c r="AP55" s="826"/>
      <x:c r="AQ55" s="826"/>
      <x:c r="AR55" s="826"/>
      <x:c r="AS55" s="826"/>
      <x:c r="AT55" s="826"/>
      <x:c r="AU55" s="826"/>
      <x:c r="AV55" s="826"/>
      <x:c r="AW55" s="826"/>
      <x:c r="AX55" s="826"/>
      <x:c r="AY55" s="826"/>
      <x:c r="AZ55" s="826"/>
      <x:c r="BA55" s="826"/>
      <x:c r="BB55" s="826"/>
      <x:c r="BC55" s="826"/>
      <x:c r="BD55" s="826"/>
      <x:c r="BE55" s="826"/>
      <x:c r="BF55" s="826"/>
      <x:c r="BG55" s="826"/>
      <x:c r="BH55" s="826"/>
      <x:c r="BI55" s="826"/>
      <x:c r="BJ55" s="826"/>
    </x:row>
    <x:row r="56" ht="42" customHeight="1">
      <x:c r="A56" s="2"/>
      <x:c r="B56" s="820" t="str">
        <x:v>WBS-3.8</x:v>
      </x:c>
      <x:c r="C56" s="821" t="str">
        <x:f>'작업 상세'!C50</x:f>
        <x:v>답변 버전·제출 상태 구현</x:v>
      </x:c>
      <x:c r="D56" s="837" t="str">
        <x:v>최인영</x:v>
      </x:c>
      <x:c r="E56" s="838" t="n">
        <x:v>46333</x:v>
      </x:c>
      <x:c r="F56" s="838" t="n">
        <x:v>46334</x:v>
      </x:c>
      <x:c r="G56" s="824" t="n">
        <x:f>IF(OR(E56="",F56=""),"",IF(F56&lt;E56,"기간 확인",COUNTIFS($I$10:$BJ$10,"&gt;="&amp;E56,$I$10:$BJ$10,"&lt;="&amp;F56)))</x:f>
        <x:v>2</x:v>
      </x:c>
      <x:c r="H56" s="929" t="str">
        <x:f>IF(OR(NOT(ISNUMBER(E56)),NOT(ISNUMBER(F56)),F56&lt;E56),"날짜 확인",IF(TODAY()&lt;E56,"시작 전",IF(TODAY()&lt;=F56,"진행 중","완료")))</x:f>
        <x:v>시작 전</x:v>
      </x:c>
      <x:c r="I56" s="826"/>
      <x:c r="J56" s="826"/>
      <x:c r="K56" s="826"/>
      <x:c r="L56" s="826"/>
      <x:c r="M56" s="826"/>
      <x:c r="N56" s="826"/>
      <x:c r="O56" s="826"/>
      <x:c r="P56" s="826"/>
      <x:c r="Q56" s="826"/>
      <x:c r="R56" s="826"/>
      <x:c r="S56" s="826"/>
      <x:c r="T56" s="826"/>
      <x:c r="U56" s="826"/>
      <x:c r="V56" s="826"/>
      <x:c r="W56" s="826"/>
      <x:c r="X56" s="826"/>
      <x:c r="Y56" s="826"/>
      <x:c r="Z56" s="826"/>
      <x:c r="AA56" s="826"/>
      <x:c r="AB56" s="826"/>
      <x:c r="AC56" s="826"/>
      <x:c r="AD56" s="826"/>
      <x:c r="AE56" s="826"/>
      <x:c r="AF56" s="826"/>
      <x:c r="AG56" s="826"/>
      <x:c r="AH56" s="826"/>
      <x:c r="AI56" s="826"/>
      <x:c r="AJ56" s="826"/>
      <x:c r="AK56" s="826"/>
      <x:c r="AL56" s="826"/>
      <x:c r="AM56" s="826"/>
      <x:c r="AN56" s="826"/>
      <x:c r="AO56" s="826"/>
      <x:c r="AP56" s="826"/>
      <x:c r="AQ56" s="826"/>
      <x:c r="AR56" s="826"/>
      <x:c r="AS56" s="826"/>
      <x:c r="AT56" s="826"/>
      <x:c r="AU56" s="826"/>
      <x:c r="AV56" s="826"/>
      <x:c r="AW56" s="826"/>
      <x:c r="AX56" s="826"/>
      <x:c r="AY56" s="826"/>
      <x:c r="AZ56" s="826"/>
      <x:c r="BA56" s="826"/>
      <x:c r="BB56" s="826"/>
      <x:c r="BC56" s="826"/>
      <x:c r="BD56" s="826"/>
      <x:c r="BE56" s="826"/>
      <x:c r="BF56" s="826"/>
      <x:c r="BG56" s="826"/>
      <x:c r="BH56" s="826"/>
      <x:c r="BI56" s="826"/>
      <x:c r="BJ56" s="826"/>
    </x:row>
    <x:row r="57" ht="42" customHeight="1">
      <x:c r="A57" s="2"/>
      <x:c r="B57" s="820" t="str">
        <x:v>WBS-3.12</x:v>
      </x:c>
      <x:c r="C57" s="821" t="str">
        <x:f>'작업 상세'!C51</x:f>
        <x:v>결과·돌아보기·자기 평가 구현</x:v>
      </x:c>
      <x:c r="D57" s="837" t="str">
        <x:v>황수빈</x:v>
      </x:c>
      <x:c r="E57" s="838" t="n">
        <x:v>46333</x:v>
      </x:c>
      <x:c r="F57" s="838" t="n">
        <x:v>46334</x:v>
      </x:c>
      <x:c r="G57" s="824" t="n">
        <x:f>IF(OR(E57="",F57=""),"",IF(F57&lt;E57,"기간 확인",COUNTIFS($I$10:$BJ$10,"&gt;="&amp;E57,$I$10:$BJ$10,"&lt;="&amp;F57)))</x:f>
        <x:v>2</x:v>
      </x:c>
      <x:c r="H57" s="929" t="str">
        <x:f>IF(OR(NOT(ISNUMBER(E57)),NOT(ISNUMBER(F57)),F57&lt;E57),"날짜 확인",IF(TODAY()&lt;E57,"시작 전",IF(TODAY()&lt;=F57,"진행 중","완료")))</x:f>
        <x:v>시작 전</x:v>
      </x:c>
      <x:c r="I57" s="826"/>
      <x:c r="J57" s="826"/>
      <x:c r="K57" s="826"/>
      <x:c r="L57" s="826"/>
      <x:c r="M57" s="826"/>
      <x:c r="N57" s="826"/>
      <x:c r="O57" s="826"/>
      <x:c r="P57" s="826"/>
      <x:c r="Q57" s="826"/>
      <x:c r="R57" s="826"/>
      <x:c r="S57" s="826"/>
      <x:c r="T57" s="826"/>
      <x:c r="U57" s="826"/>
      <x:c r="V57" s="826"/>
      <x:c r="W57" s="826"/>
      <x:c r="X57" s="826"/>
      <x:c r="Y57" s="826"/>
      <x:c r="Z57" s="826"/>
      <x:c r="AA57" s="826"/>
      <x:c r="AB57" s="826"/>
      <x:c r="AC57" s="826"/>
      <x:c r="AD57" s="826"/>
      <x:c r="AE57" s="826"/>
      <x:c r="AF57" s="826"/>
      <x:c r="AG57" s="826"/>
      <x:c r="AH57" s="826"/>
      <x:c r="AI57" s="826"/>
      <x:c r="AJ57" s="826"/>
      <x:c r="AK57" s="826"/>
      <x:c r="AL57" s="826"/>
      <x:c r="AM57" s="826"/>
      <x:c r="AN57" s="826"/>
      <x:c r="AO57" s="826"/>
      <x:c r="AP57" s="826"/>
      <x:c r="AQ57" s="826"/>
      <x:c r="AR57" s="826"/>
      <x:c r="AS57" s="826"/>
      <x:c r="AT57" s="826"/>
      <x:c r="AU57" s="826"/>
      <x:c r="AV57" s="826"/>
      <x:c r="AW57" s="826"/>
      <x:c r="AX57" s="826"/>
      <x:c r="AY57" s="826"/>
      <x:c r="AZ57" s="826"/>
      <x:c r="BA57" s="826"/>
      <x:c r="BB57" s="826"/>
      <x:c r="BC57" s="826"/>
      <x:c r="BD57" s="826"/>
      <x:c r="BE57" s="826"/>
      <x:c r="BF57" s="826"/>
      <x:c r="BG57" s="826"/>
      <x:c r="BH57" s="826"/>
      <x:c r="BI57" s="826"/>
      <x:c r="BJ57" s="826"/>
    </x:row>
    <x:row r="58" ht="42" customHeight="1">
      <x:c r="A58" s="2"/>
      <x:c r="B58" s="820" t="str">
        <x:v>WBS-3.15</x:v>
      </x:c>
      <x:c r="C58" s="821" t="str">
        <x:f>'작업 상세'!C52</x:f>
        <x:v>학부모 조회 도구·집계 구현</x:v>
      </x:c>
      <x:c r="D58" s="837" t="str">
        <x:v>최성욱</x:v>
      </x:c>
      <x:c r="E58" s="838" t="n">
        <x:v>46334</x:v>
      </x:c>
      <x:c r="F58" s="838" t="n">
        <x:v>46335</x:v>
      </x:c>
      <x:c r="G58" s="824" t="n">
        <x:f>IF(OR(E58="",F58=""),"",IF(F58&lt;E58,"기간 확인",COUNTIFS($I$10:$BJ$10,"&gt;="&amp;E58,$I$10:$BJ$10,"&lt;="&amp;F58)))</x:f>
        <x:v>2</x:v>
      </x:c>
      <x:c r="H58" s="929" t="str">
        <x:f>IF(OR(NOT(ISNUMBER(E58)),NOT(ISNUMBER(F58)),F58&lt;E58),"날짜 확인",IF(TODAY()&lt;E58,"시작 전",IF(TODAY()&lt;=F58,"진행 중","완료")))</x:f>
        <x:v>시작 전</x:v>
      </x:c>
      <x:c r="I58" s="826"/>
      <x:c r="J58" s="826"/>
      <x:c r="K58" s="826"/>
      <x:c r="L58" s="826"/>
      <x:c r="M58" s="826"/>
      <x:c r="N58" s="826"/>
      <x:c r="O58" s="826"/>
      <x:c r="P58" s="826"/>
      <x:c r="Q58" s="826"/>
      <x:c r="R58" s="826"/>
      <x:c r="S58" s="826"/>
      <x:c r="T58" s="826"/>
      <x:c r="U58" s="826"/>
      <x:c r="V58" s="826"/>
      <x:c r="W58" s="826"/>
      <x:c r="X58" s="826"/>
      <x:c r="Y58" s="826"/>
      <x:c r="Z58" s="826"/>
      <x:c r="AA58" s="826"/>
      <x:c r="AB58" s="826"/>
      <x:c r="AC58" s="826"/>
      <x:c r="AD58" s="826"/>
      <x:c r="AE58" s="826"/>
      <x:c r="AF58" s="826"/>
      <x:c r="AG58" s="826"/>
      <x:c r="AH58" s="826"/>
      <x:c r="AI58" s="826"/>
      <x:c r="AJ58" s="826"/>
      <x:c r="AK58" s="826"/>
      <x:c r="AL58" s="826"/>
      <x:c r="AM58" s="826"/>
      <x:c r="AN58" s="826"/>
      <x:c r="AO58" s="826"/>
      <x:c r="AP58" s="826"/>
      <x:c r="AQ58" s="826"/>
      <x:c r="AR58" s="826"/>
      <x:c r="AS58" s="826"/>
      <x:c r="AT58" s="826"/>
      <x:c r="AU58" s="826"/>
      <x:c r="AV58" s="826"/>
      <x:c r="AW58" s="826"/>
      <x:c r="AX58" s="826"/>
      <x:c r="AY58" s="826"/>
      <x:c r="AZ58" s="826"/>
      <x:c r="BA58" s="826"/>
      <x:c r="BB58" s="826"/>
      <x:c r="BC58" s="826"/>
      <x:c r="BD58" s="826"/>
      <x:c r="BE58" s="826"/>
      <x:c r="BF58" s="826"/>
      <x:c r="BG58" s="826"/>
      <x:c r="BH58" s="826"/>
      <x:c r="BI58" s="826"/>
      <x:c r="BJ58" s="826"/>
    </x:row>
    <x:row r="59" ht="42" customHeight="1">
      <x:c r="A59" s="2"/>
      <x:c r="B59" s="820" t="str">
        <x:v>WBS-3.9</x:v>
      </x:c>
      <x:c r="C59" s="821" t="str">
        <x:f>'작업 상세'!C53</x:f>
        <x:v>초안 저장·이어하기 구현</x:v>
      </x:c>
      <x:c r="D59" s="837" t="str">
        <x:v>최인영</x:v>
      </x:c>
      <x:c r="E59" s="838" t="n">
        <x:v>46335</x:v>
      </x:c>
      <x:c r="F59" s="838" t="n">
        <x:v>46336</x:v>
      </x:c>
      <x:c r="G59" s="824" t="n">
        <x:f>IF(OR(E59="",F59=""),"",IF(F59&lt;E59,"기간 확인",COUNTIFS($I$10:$BJ$10,"&gt;="&amp;E59,$I$10:$BJ$10,"&lt;="&amp;F59)))</x:f>
        <x:v>2</x:v>
      </x:c>
      <x:c r="H59" s="929" t="str">
        <x:f>IF(OR(NOT(ISNUMBER(E59)),NOT(ISNUMBER(F59)),F59&lt;E59),"날짜 확인",IF(TODAY()&lt;E59,"시작 전",IF(TODAY()&lt;=F59,"진행 중","완료")))</x:f>
        <x:v>시작 전</x:v>
      </x:c>
      <x:c r="I59" s="826"/>
      <x:c r="J59" s="826"/>
      <x:c r="K59" s="826"/>
      <x:c r="L59" s="826"/>
      <x:c r="M59" s="826"/>
      <x:c r="N59" s="826"/>
      <x:c r="O59" s="826"/>
      <x:c r="P59" s="826"/>
      <x:c r="Q59" s="826"/>
      <x:c r="R59" s="826"/>
      <x:c r="S59" s="826"/>
      <x:c r="T59" s="826"/>
      <x:c r="U59" s="826"/>
      <x:c r="V59" s="826"/>
      <x:c r="W59" s="826"/>
      <x:c r="X59" s="826"/>
      <x:c r="Y59" s="826"/>
      <x:c r="Z59" s="826"/>
      <x:c r="AA59" s="826"/>
      <x:c r="AB59" s="826"/>
      <x:c r="AC59" s="826"/>
      <x:c r="AD59" s="826"/>
      <x:c r="AE59" s="826"/>
      <x:c r="AF59" s="826"/>
      <x:c r="AG59" s="826"/>
      <x:c r="AH59" s="826"/>
      <x:c r="AI59" s="826"/>
      <x:c r="AJ59" s="826"/>
      <x:c r="AK59" s="826"/>
      <x:c r="AL59" s="826"/>
      <x:c r="AM59" s="826"/>
      <x:c r="AN59" s="826"/>
      <x:c r="AO59" s="826"/>
      <x:c r="AP59" s="826"/>
      <x:c r="AQ59" s="826"/>
      <x:c r="AR59" s="826"/>
      <x:c r="AS59" s="826"/>
      <x:c r="AT59" s="826"/>
      <x:c r="AU59" s="826"/>
      <x:c r="AV59" s="826"/>
      <x:c r="AW59" s="826"/>
      <x:c r="AX59" s="826"/>
      <x:c r="AY59" s="826"/>
      <x:c r="AZ59" s="826"/>
      <x:c r="BA59" s="826"/>
      <x:c r="BB59" s="826"/>
      <x:c r="BC59" s="826"/>
      <x:c r="BD59" s="826"/>
      <x:c r="BE59" s="826"/>
      <x:c r="BF59" s="826"/>
      <x:c r="BG59" s="826"/>
      <x:c r="BH59" s="826"/>
      <x:c r="BI59" s="826"/>
      <x:c r="BJ59" s="826"/>
    </x:row>
    <x:row r="60" ht="42" customHeight="1">
      <x:c r="A60" s="2"/>
      <x:c r="B60" s="820" t="str">
        <x:v>WBS-3.13</x:v>
      </x:c>
      <x:c r="C60" s="821" t="str">
        <x:f>'작업 상세'!C54</x:f>
        <x:v>학년별 입력·접근성·움직임 줄이기 구현</x:v>
      </x:c>
      <x:c r="D60" s="837" t="str">
        <x:v>황수빈</x:v>
      </x:c>
      <x:c r="E60" s="838" t="n">
        <x:v>46335</x:v>
      </x:c>
      <x:c r="F60" s="838" t="n">
        <x:v>46335</x:v>
      </x:c>
      <x:c r="G60" s="824" t="n">
        <x:f>IF(OR(E60="",F60=""),"",IF(F60&lt;E60,"기간 확인",COUNTIFS($I$10:$BJ$10,"&gt;="&amp;E60,$I$10:$BJ$10,"&lt;="&amp;F60)))</x:f>
        <x:v>1</x:v>
      </x:c>
      <x:c r="H60" s="929" t="str">
        <x:f>IF(OR(NOT(ISNUMBER(E60)),NOT(ISNUMBER(F60)),F60&lt;E60),"날짜 확인",IF(TODAY()&lt;E60,"시작 전",IF(TODAY()&lt;=F60,"진행 중","완료")))</x:f>
        <x:v>시작 전</x:v>
      </x:c>
      <x:c r="I60" s="826"/>
      <x:c r="J60" s="826"/>
      <x:c r="K60" s="826"/>
      <x:c r="L60" s="826"/>
      <x:c r="M60" s="826"/>
      <x:c r="N60" s="826"/>
      <x:c r="O60" s="826"/>
      <x:c r="P60" s="826"/>
      <x:c r="Q60" s="826"/>
      <x:c r="R60" s="826"/>
      <x:c r="S60" s="826"/>
      <x:c r="T60" s="826"/>
      <x:c r="U60" s="826"/>
      <x:c r="V60" s="826"/>
      <x:c r="W60" s="826"/>
      <x:c r="X60" s="826"/>
      <x:c r="Y60" s="826"/>
      <x:c r="Z60" s="826"/>
      <x:c r="AA60" s="826"/>
      <x:c r="AB60" s="826"/>
      <x:c r="AC60" s="826"/>
      <x:c r="AD60" s="826"/>
      <x:c r="AE60" s="826"/>
      <x:c r="AF60" s="826"/>
      <x:c r="AG60" s="826"/>
      <x:c r="AH60" s="826"/>
      <x:c r="AI60" s="826"/>
      <x:c r="AJ60" s="826"/>
      <x:c r="AK60" s="826"/>
      <x:c r="AL60" s="826"/>
      <x:c r="AM60" s="826"/>
      <x:c r="AN60" s="826"/>
      <x:c r="AO60" s="826"/>
      <x:c r="AP60" s="826"/>
      <x:c r="AQ60" s="826"/>
      <x:c r="AR60" s="826"/>
      <x:c r="AS60" s="826"/>
      <x:c r="AT60" s="826"/>
      <x:c r="AU60" s="826"/>
      <x:c r="AV60" s="826"/>
      <x:c r="AW60" s="826"/>
      <x:c r="AX60" s="826"/>
      <x:c r="AY60" s="826"/>
      <x:c r="AZ60" s="826"/>
      <x:c r="BA60" s="826"/>
      <x:c r="BB60" s="826"/>
      <x:c r="BC60" s="826"/>
      <x:c r="BD60" s="826"/>
      <x:c r="BE60" s="826"/>
      <x:c r="BF60" s="826"/>
      <x:c r="BG60" s="826"/>
      <x:c r="BH60" s="826"/>
      <x:c r="BI60" s="826"/>
      <x:c r="BJ60" s="826"/>
    </x:row>
    <x:row r="61" ht="42" customHeight="1">
      <x:c r="A61" s="2"/>
      <x:c r="B61" s="820" t="str">
        <x:v>WBS-3.25</x:v>
      </x:c>
      <x:c r="C61" s="821" t="str">
        <x:f>'작업 상세'!C55</x:f>
        <x:v>로그·경보·재시도·백업 구현</x:v>
      </x:c>
      <x:c r="D61" s="837" t="str">
        <x:v>김동섭</x:v>
      </x:c>
      <x:c r="E61" s="838" t="n">
        <x:v>46335</x:v>
      </x:c>
      <x:c r="F61" s="838" t="n">
        <x:v>46338</x:v>
      </x:c>
      <x:c r="G61" s="824" t="n">
        <x:f>IF(OR(E61="",F61=""),"",IF(F61&lt;E61,"기간 확인",COUNTIFS($I$10:$BJ$10,"&gt;="&amp;E61,$I$10:$BJ$10,"&lt;="&amp;F61)))</x:f>
        <x:v>4</x:v>
      </x:c>
      <x:c r="H61" s="929" t="str">
        <x:f>IF(OR(NOT(ISNUMBER(E61)),NOT(ISNUMBER(F61)),F61&lt;E61),"날짜 확인",IF(TODAY()&lt;E61,"시작 전",IF(TODAY()&lt;=F61,"진행 중","완료")))</x:f>
        <x:v>시작 전</x:v>
      </x:c>
      <x:c r="I61" s="826"/>
      <x:c r="J61" s="826"/>
      <x:c r="K61" s="826"/>
      <x:c r="L61" s="826"/>
      <x:c r="M61" s="826"/>
      <x:c r="N61" s="826"/>
      <x:c r="O61" s="826"/>
      <x:c r="P61" s="826"/>
      <x:c r="Q61" s="826"/>
      <x:c r="R61" s="826"/>
      <x:c r="S61" s="826"/>
      <x:c r="T61" s="826"/>
      <x:c r="U61" s="826"/>
      <x:c r="V61" s="826"/>
      <x:c r="W61" s="826"/>
      <x:c r="X61" s="826"/>
      <x:c r="Y61" s="826"/>
      <x:c r="Z61" s="826"/>
      <x:c r="AA61" s="826"/>
      <x:c r="AB61" s="826"/>
      <x:c r="AC61" s="826"/>
      <x:c r="AD61" s="826"/>
      <x:c r="AE61" s="826"/>
      <x:c r="AF61" s="826"/>
      <x:c r="AG61" s="826"/>
      <x:c r="AH61" s="826"/>
      <x:c r="AI61" s="826"/>
      <x:c r="AJ61" s="826"/>
      <x:c r="AK61" s="826"/>
      <x:c r="AL61" s="826"/>
      <x:c r="AM61" s="826"/>
      <x:c r="AN61" s="826"/>
      <x:c r="AO61" s="826"/>
      <x:c r="AP61" s="826"/>
      <x:c r="AQ61" s="826"/>
      <x:c r="AR61" s="826"/>
      <x:c r="AS61" s="826"/>
      <x:c r="AT61" s="826"/>
      <x:c r="AU61" s="826"/>
      <x:c r="AV61" s="826"/>
      <x:c r="AW61" s="826"/>
      <x:c r="AX61" s="826"/>
      <x:c r="AY61" s="826"/>
      <x:c r="AZ61" s="826"/>
      <x:c r="BA61" s="826"/>
      <x:c r="BB61" s="826"/>
      <x:c r="BC61" s="826"/>
      <x:c r="BD61" s="826"/>
      <x:c r="BE61" s="826"/>
      <x:c r="BF61" s="826"/>
      <x:c r="BG61" s="826"/>
      <x:c r="BH61" s="826"/>
      <x:c r="BI61" s="826"/>
      <x:c r="BJ61" s="826"/>
    </x:row>
    <x:row r="62" ht="42" customHeight="1">
      <x:c r="A62" s="2"/>
      <x:c r="B62" s="820" t="str">
        <x:v>WBS-3.14</x:v>
      </x:c>
      <x:c r="C62" s="821" t="str">
        <x:f>'작업 상세'!C56</x:f>
        <x:v>학생 대시보드 연결</x:v>
      </x:c>
      <x:c r="D62" s="837" t="str">
        <x:v>황수빈</x:v>
      </x:c>
      <x:c r="E62" s="838" t="n">
        <x:v>46336</x:v>
      </x:c>
      <x:c r="F62" s="838" t="n">
        <x:v>46336</x:v>
      </x:c>
      <x:c r="G62" s="824" t="n">
        <x:f>IF(OR(E62="",F62=""),"",IF(F62&lt;E62,"기간 확인",COUNTIFS($I$10:$BJ$10,"&gt;="&amp;E62,$I$10:$BJ$10,"&lt;="&amp;F62)))</x:f>
        <x:v>1</x:v>
      </x:c>
      <x:c r="H62" s="929" t="str">
        <x:f>IF(OR(NOT(ISNUMBER(E62)),NOT(ISNUMBER(F62)),F62&lt;E62),"날짜 확인",IF(TODAY()&lt;E62,"시작 전",IF(TODAY()&lt;=F62,"진행 중","완료")))</x:f>
        <x:v>시작 전</x:v>
      </x:c>
      <x:c r="I62" s="826"/>
      <x:c r="J62" s="826"/>
      <x:c r="K62" s="826"/>
      <x:c r="L62" s="826"/>
      <x:c r="M62" s="826"/>
      <x:c r="N62" s="826"/>
      <x:c r="O62" s="826"/>
      <x:c r="P62" s="826"/>
      <x:c r="Q62" s="826"/>
      <x:c r="R62" s="826"/>
      <x:c r="S62" s="826"/>
      <x:c r="T62" s="826"/>
      <x:c r="U62" s="826"/>
      <x:c r="V62" s="826"/>
      <x:c r="W62" s="826"/>
      <x:c r="X62" s="826"/>
      <x:c r="Y62" s="826"/>
      <x:c r="Z62" s="826"/>
      <x:c r="AA62" s="826"/>
      <x:c r="AB62" s="826"/>
      <x:c r="AC62" s="826"/>
      <x:c r="AD62" s="826"/>
      <x:c r="AE62" s="826"/>
      <x:c r="AF62" s="826"/>
      <x:c r="AG62" s="826"/>
      <x:c r="AH62" s="826"/>
      <x:c r="AI62" s="826"/>
      <x:c r="AJ62" s="826"/>
      <x:c r="AK62" s="826"/>
      <x:c r="AL62" s="826"/>
      <x:c r="AM62" s="826"/>
      <x:c r="AN62" s="826"/>
      <x:c r="AO62" s="826"/>
      <x:c r="AP62" s="826"/>
      <x:c r="AQ62" s="826"/>
      <x:c r="AR62" s="826"/>
      <x:c r="AS62" s="826"/>
      <x:c r="AT62" s="826"/>
      <x:c r="AU62" s="826"/>
      <x:c r="AV62" s="826"/>
      <x:c r="AW62" s="826"/>
      <x:c r="AX62" s="826"/>
      <x:c r="AY62" s="826"/>
      <x:c r="AZ62" s="826"/>
      <x:c r="BA62" s="826"/>
      <x:c r="BB62" s="826"/>
      <x:c r="BC62" s="826"/>
      <x:c r="BD62" s="826"/>
      <x:c r="BE62" s="826"/>
      <x:c r="BF62" s="826"/>
      <x:c r="BG62" s="826"/>
      <x:c r="BH62" s="826"/>
      <x:c r="BI62" s="826"/>
      <x:c r="BJ62" s="826"/>
    </x:row>
    <x:row r="63" ht="42" customHeight="1">
      <x:c r="A63" s="2"/>
      <x:c r="B63" s="820" t="str">
        <x:v>WBS-3.16</x:v>
      </x:c>
      <x:c r="C63" s="821" t="str">
        <x:f>'작업 상세'!C57</x:f>
        <x:v>학부모 분석 대화 구현</x:v>
      </x:c>
      <x:c r="D63" s="837" t="str">
        <x:v>최성욱</x:v>
      </x:c>
      <x:c r="E63" s="838" t="n">
        <x:v>46336</x:v>
      </x:c>
      <x:c r="F63" s="838" t="n">
        <x:v>46337</x:v>
      </x:c>
      <x:c r="G63" s="824" t="n">
        <x:f>IF(OR(E63="",F63=""),"",IF(F63&lt;E63,"기간 확인",COUNTIFS($I$10:$BJ$10,"&gt;="&amp;E63,$I$10:$BJ$10,"&lt;="&amp;F63)))</x:f>
        <x:v>2</x:v>
      </x:c>
      <x:c r="H63" s="929" t="str">
        <x:f>IF(OR(NOT(ISNUMBER(E63)),NOT(ISNUMBER(F63)),F63&lt;E63),"날짜 확인",IF(TODAY()&lt;E63,"시작 전",IF(TODAY()&lt;=F63,"진행 중","완료")))</x:f>
        <x:v>시작 전</x:v>
      </x:c>
      <x:c r="I63" s="826"/>
      <x:c r="J63" s="826"/>
      <x:c r="K63" s="826"/>
      <x:c r="L63" s="826"/>
      <x:c r="M63" s="826"/>
      <x:c r="N63" s="826"/>
      <x:c r="O63" s="826"/>
      <x:c r="P63" s="826"/>
      <x:c r="Q63" s="826"/>
      <x:c r="R63" s="826"/>
      <x:c r="S63" s="826"/>
      <x:c r="T63" s="826"/>
      <x:c r="U63" s="826"/>
      <x:c r="V63" s="826"/>
      <x:c r="W63" s="826"/>
      <x:c r="X63" s="826"/>
      <x:c r="Y63" s="826"/>
      <x:c r="Z63" s="826"/>
      <x:c r="AA63" s="826"/>
      <x:c r="AB63" s="826"/>
      <x:c r="AC63" s="826"/>
      <x:c r="AD63" s="826"/>
      <x:c r="AE63" s="826"/>
      <x:c r="AF63" s="826"/>
      <x:c r="AG63" s="826"/>
      <x:c r="AH63" s="826"/>
      <x:c r="AI63" s="826"/>
      <x:c r="AJ63" s="826"/>
      <x:c r="AK63" s="826"/>
      <x:c r="AL63" s="826"/>
      <x:c r="AM63" s="826"/>
      <x:c r="AN63" s="826"/>
      <x:c r="AO63" s="826"/>
      <x:c r="AP63" s="826"/>
      <x:c r="AQ63" s="826"/>
      <x:c r="AR63" s="826"/>
      <x:c r="AS63" s="826"/>
      <x:c r="AT63" s="826"/>
      <x:c r="AU63" s="826"/>
      <x:c r="AV63" s="826"/>
      <x:c r="AW63" s="826"/>
      <x:c r="AX63" s="826"/>
      <x:c r="AY63" s="826"/>
      <x:c r="AZ63" s="826"/>
      <x:c r="BA63" s="826"/>
      <x:c r="BB63" s="826"/>
      <x:c r="BC63" s="826"/>
      <x:c r="BD63" s="826"/>
      <x:c r="BE63" s="826"/>
      <x:c r="BF63" s="826"/>
      <x:c r="BG63" s="826"/>
      <x:c r="BH63" s="826"/>
      <x:c r="BI63" s="826"/>
      <x:c r="BJ63" s="826"/>
    </x:row>
    <x:row r="64" ht="42" customHeight="1">
      <x:c r="A64" s="2"/>
      <x:c r="B64" s="820" t="str">
        <x:v>WBS-3.18</x:v>
      </x:c>
      <x:c r="C64" s="821" t="str">
        <x:f>'작업 상세'!C58</x:f>
        <x:v>학부모 대시보드·파일 내보내기</x:v>
      </x:c>
      <x:c r="D64" s="837" t="str">
        <x:v>황수빈</x:v>
      </x:c>
      <x:c r="E64" s="838" t="n">
        <x:v>46337</x:v>
      </x:c>
      <x:c r="F64" s="838" t="n">
        <x:v>46338</x:v>
      </x:c>
      <x:c r="G64" s="824" t="n">
        <x:f>IF(OR(E64="",F64=""),"",IF(F64&lt;E64,"기간 확인",COUNTIFS($I$10:$BJ$10,"&gt;="&amp;E64,$I$10:$BJ$10,"&lt;="&amp;F64)))</x:f>
        <x:v>2</x:v>
      </x:c>
      <x:c r="H64" s="929" t="str">
        <x:f>IF(OR(NOT(ISNUMBER(E64)),NOT(ISNUMBER(F64)),F64&lt;E64),"날짜 확인",IF(TODAY()&lt;E64,"시작 전",IF(TODAY()&lt;=F64,"진행 중","완료")))</x:f>
        <x:v>시작 전</x:v>
      </x:c>
      <x:c r="I64" s="826"/>
      <x:c r="J64" s="826"/>
      <x:c r="K64" s="826"/>
      <x:c r="L64" s="826"/>
      <x:c r="M64" s="826"/>
      <x:c r="N64" s="826"/>
      <x:c r="O64" s="826"/>
      <x:c r="P64" s="826"/>
      <x:c r="Q64" s="826"/>
      <x:c r="R64" s="826"/>
      <x:c r="S64" s="826"/>
      <x:c r="T64" s="826"/>
      <x:c r="U64" s="826"/>
      <x:c r="V64" s="826"/>
      <x:c r="W64" s="826"/>
      <x:c r="X64" s="826"/>
      <x:c r="Y64" s="826"/>
      <x:c r="Z64" s="826"/>
      <x:c r="AA64" s="826"/>
      <x:c r="AB64" s="826"/>
      <x:c r="AC64" s="826"/>
      <x:c r="AD64" s="826"/>
      <x:c r="AE64" s="826"/>
      <x:c r="AF64" s="826"/>
      <x:c r="AG64" s="826"/>
      <x:c r="AH64" s="826"/>
      <x:c r="AI64" s="826"/>
      <x:c r="AJ64" s="826"/>
      <x:c r="AK64" s="826"/>
      <x:c r="AL64" s="826"/>
      <x:c r="AM64" s="826"/>
      <x:c r="AN64" s="826"/>
      <x:c r="AO64" s="826"/>
      <x:c r="AP64" s="826"/>
      <x:c r="AQ64" s="826"/>
      <x:c r="AR64" s="826"/>
      <x:c r="AS64" s="826"/>
      <x:c r="AT64" s="826"/>
      <x:c r="AU64" s="826"/>
      <x:c r="AV64" s="826"/>
      <x:c r="AW64" s="826"/>
      <x:c r="AX64" s="826"/>
      <x:c r="AY64" s="826"/>
      <x:c r="AZ64" s="826"/>
      <x:c r="BA64" s="826"/>
      <x:c r="BB64" s="826"/>
      <x:c r="BC64" s="826"/>
      <x:c r="BD64" s="826"/>
      <x:c r="BE64" s="826"/>
      <x:c r="BF64" s="826"/>
      <x:c r="BG64" s="826"/>
      <x:c r="BH64" s="826"/>
      <x:c r="BI64" s="826"/>
      <x:c r="BJ64" s="826"/>
    </x:row>
    <x:row r="65" ht="42" customHeight="1">
      <x:c r="A65" s="2"/>
      <x:c r="B65" s="820" t="str">
        <x:v>WBS-3.19</x:v>
      </x:c>
      <x:c r="C65" s="821" t="str">
        <x:f>'작업 상세'!C59</x:f>
        <x:v>오류 신고·도움말·문의 구현</x:v>
      </x:c>
      <x:c r="D65" s="837" t="str">
        <x:v>최인영</x:v>
      </x:c>
      <x:c r="E65" s="838" t="n">
        <x:v>46337</x:v>
      </x:c>
      <x:c r="F65" s="838" t="n">
        <x:v>46338</x:v>
      </x:c>
      <x:c r="G65" s="824" t="n">
        <x:f>IF(OR(E65="",F65=""),"",IF(F65&lt;E65,"기간 확인",COUNTIFS($I$10:$BJ$10,"&gt;="&amp;E65,$I$10:$BJ$10,"&lt;="&amp;F65)))</x:f>
        <x:v>2</x:v>
      </x:c>
      <x:c r="H65" s="929" t="str">
        <x:f>IF(OR(NOT(ISNUMBER(E65)),NOT(ISNUMBER(F65)),F65&lt;E65),"날짜 확인",IF(TODAY()&lt;E65,"시작 전",IF(TODAY()&lt;=F65,"진행 중","완료")))</x:f>
        <x:v>시작 전</x:v>
      </x:c>
      <x:c r="I65" s="826"/>
      <x:c r="J65" s="826"/>
      <x:c r="K65" s="826"/>
      <x:c r="L65" s="826"/>
      <x:c r="M65" s="826"/>
      <x:c r="N65" s="826"/>
      <x:c r="O65" s="826"/>
      <x:c r="P65" s="826"/>
      <x:c r="Q65" s="826"/>
      <x:c r="R65" s="826"/>
      <x:c r="S65" s="826"/>
      <x:c r="T65" s="826"/>
      <x:c r="U65" s="826"/>
      <x:c r="V65" s="826"/>
      <x:c r="W65" s="826"/>
      <x:c r="X65" s="826"/>
      <x:c r="Y65" s="826"/>
      <x:c r="Z65" s="826"/>
      <x:c r="AA65" s="826"/>
      <x:c r="AB65" s="826"/>
      <x:c r="AC65" s="826"/>
      <x:c r="AD65" s="826"/>
      <x:c r="AE65" s="826"/>
      <x:c r="AF65" s="826"/>
      <x:c r="AG65" s="826"/>
      <x:c r="AH65" s="826"/>
      <x:c r="AI65" s="826"/>
      <x:c r="AJ65" s="826"/>
      <x:c r="AK65" s="826"/>
      <x:c r="AL65" s="826"/>
      <x:c r="AM65" s="826"/>
      <x:c r="AN65" s="826"/>
      <x:c r="AO65" s="826"/>
      <x:c r="AP65" s="826"/>
      <x:c r="AQ65" s="826"/>
      <x:c r="AR65" s="826"/>
      <x:c r="AS65" s="826"/>
      <x:c r="AT65" s="826"/>
      <x:c r="AU65" s="826"/>
      <x:c r="AV65" s="826"/>
      <x:c r="AW65" s="826"/>
      <x:c r="AX65" s="826"/>
      <x:c r="AY65" s="826"/>
      <x:c r="AZ65" s="826"/>
      <x:c r="BA65" s="826"/>
      <x:c r="BB65" s="826"/>
      <x:c r="BC65" s="826"/>
      <x:c r="BD65" s="826"/>
      <x:c r="BE65" s="826"/>
      <x:c r="BF65" s="826"/>
      <x:c r="BG65" s="826"/>
      <x:c r="BH65" s="826"/>
      <x:c r="BI65" s="826"/>
      <x:c r="BJ65" s="826"/>
    </x:row>
    <x:row r="66" ht="42" customHeight="1">
      <x:c r="A66" s="2"/>
      <x:c r="B66" s="820" t="str">
        <x:v>WBS-3.35</x:v>
      </x:c>
      <x:c r="C66" s="821" t="str">
        <x:f>'작업 상세'!C60</x:f>
        <x:v>검색 저장소 구축·결과서 정리</x:v>
      </x:c>
      <x:c r="D66" s="837" t="str">
        <x:v>최성욱</x:v>
      </x:c>
      <x:c r="E66" s="838" t="n">
        <x:v>46337</x:v>
      </x:c>
      <x:c r="F66" s="838" t="n">
        <x:v>46337</x:v>
      </x:c>
      <x:c r="G66" s="824" t="n">
        <x:f>IF(OR(E66="",F66=""),"",IF(F66&lt;E66,"기간 확인",COUNTIFS($I$10:$BJ$10,"&gt;="&amp;E66,$I$10:$BJ$10,"&lt;="&amp;F66)))</x:f>
        <x:v>1</x:v>
      </x:c>
      <x:c r="H66" s="929" t="str">
        <x:f>IF(OR(NOT(ISNUMBER(E66)),NOT(ISNUMBER(F66)),F66&lt;E66),"날짜 확인",IF(TODAY()&lt;E66,"시작 전",IF(TODAY()&lt;=F66,"진행 중","완료")))</x:f>
        <x:v>시작 전</x:v>
      </x:c>
      <x:c r="I66" s="826"/>
      <x:c r="J66" s="826"/>
      <x:c r="K66" s="826"/>
      <x:c r="L66" s="826"/>
      <x:c r="M66" s="826"/>
      <x:c r="N66" s="826"/>
      <x:c r="O66" s="826"/>
      <x:c r="P66" s="826"/>
      <x:c r="Q66" s="826"/>
      <x:c r="R66" s="826"/>
      <x:c r="S66" s="826"/>
      <x:c r="T66" s="826"/>
      <x:c r="U66" s="826"/>
      <x:c r="V66" s="826"/>
      <x:c r="W66" s="826"/>
      <x:c r="X66" s="826"/>
      <x:c r="Y66" s="826"/>
      <x:c r="Z66" s="826"/>
      <x:c r="AA66" s="826"/>
      <x:c r="AB66" s="826"/>
      <x:c r="AC66" s="826"/>
      <x:c r="AD66" s="826"/>
      <x:c r="AE66" s="826"/>
      <x:c r="AF66" s="826"/>
      <x:c r="AG66" s="826"/>
      <x:c r="AH66" s="826"/>
      <x:c r="AI66" s="826"/>
      <x:c r="AJ66" s="826"/>
      <x:c r="AK66" s="826"/>
      <x:c r="AL66" s="826"/>
      <x:c r="AM66" s="826"/>
      <x:c r="AN66" s="826"/>
      <x:c r="AO66" s="826"/>
      <x:c r="AP66" s="826"/>
      <x:c r="AQ66" s="826"/>
      <x:c r="AR66" s="826"/>
      <x:c r="AS66" s="826"/>
      <x:c r="AT66" s="826"/>
      <x:c r="AU66" s="826"/>
      <x:c r="AV66" s="826"/>
      <x:c r="AW66" s="826"/>
      <x:c r="AX66" s="826"/>
      <x:c r="AY66" s="826"/>
      <x:c r="AZ66" s="826"/>
      <x:c r="BA66" s="826"/>
      <x:c r="BB66" s="826"/>
      <x:c r="BC66" s="826"/>
      <x:c r="BD66" s="826"/>
      <x:c r="BE66" s="826"/>
      <x:c r="BF66" s="826"/>
      <x:c r="BG66" s="826"/>
      <x:c r="BH66" s="826"/>
      <x:c r="BI66" s="826"/>
      <x:c r="BJ66" s="826"/>
    </x:row>
    <x:row r="67" ht="42" customHeight="1">
      <x:c r="A67" s="2"/>
      <x:c r="B67" s="820" t="str">
        <x:v>WBS-3.17</x:v>
      </x:c>
      <x:c r="C67" s="821" t="str">
        <x:f>'작업 상세'!C61</x:f>
        <x:v>주간 리포트 생성·조회 구현</x:v>
      </x:c>
      <x:c r="D67" s="837" t="str">
        <x:v>최성욱</x:v>
      </x:c>
      <x:c r="E67" s="838" t="n">
        <x:v>46338</x:v>
      </x:c>
      <x:c r="F67" s="838" t="n">
        <x:v>46339</x:v>
      </x:c>
      <x:c r="G67" s="824" t="n">
        <x:f>IF(OR(E67="",F67=""),"",IF(F67&lt;E67,"기간 확인",COUNTIFS($I$10:$BJ$10,"&gt;="&amp;E67,$I$10:$BJ$10,"&lt;="&amp;F67)))</x:f>
        <x:v>2</x:v>
      </x:c>
      <x:c r="H67" s="929" t="str">
        <x:f>IF(OR(NOT(ISNUMBER(E67)),NOT(ISNUMBER(F67)),F67&lt;E67),"날짜 확인",IF(TODAY()&lt;E67,"시작 전",IF(TODAY()&lt;=F67,"진행 중","완료")))</x:f>
        <x:v>시작 전</x:v>
      </x:c>
      <x:c r="I67" s="826"/>
      <x:c r="J67" s="826"/>
      <x:c r="K67" s="826"/>
      <x:c r="L67" s="826"/>
      <x:c r="M67" s="826"/>
      <x:c r="N67" s="826"/>
      <x:c r="O67" s="826"/>
      <x:c r="P67" s="826"/>
      <x:c r="Q67" s="826"/>
      <x:c r="R67" s="826"/>
      <x:c r="S67" s="826"/>
      <x:c r="T67" s="826"/>
      <x:c r="U67" s="826"/>
      <x:c r="V67" s="826"/>
      <x:c r="W67" s="826"/>
      <x:c r="X67" s="826"/>
      <x:c r="Y67" s="826"/>
      <x:c r="Z67" s="826"/>
      <x:c r="AA67" s="826"/>
      <x:c r="AB67" s="826"/>
      <x:c r="AC67" s="826"/>
      <x:c r="AD67" s="826"/>
      <x:c r="AE67" s="826"/>
      <x:c r="AF67" s="826"/>
      <x:c r="AG67" s="826"/>
      <x:c r="AH67" s="826"/>
      <x:c r="AI67" s="826"/>
      <x:c r="AJ67" s="826"/>
      <x:c r="AK67" s="826"/>
      <x:c r="AL67" s="826"/>
      <x:c r="AM67" s="826"/>
      <x:c r="AN67" s="826"/>
      <x:c r="AO67" s="826"/>
      <x:c r="AP67" s="826"/>
      <x:c r="AQ67" s="826"/>
      <x:c r="AR67" s="826"/>
      <x:c r="AS67" s="826"/>
      <x:c r="AT67" s="826"/>
      <x:c r="AU67" s="826"/>
      <x:c r="AV67" s="826"/>
      <x:c r="AW67" s="826"/>
      <x:c r="AX67" s="826"/>
      <x:c r="AY67" s="826"/>
      <x:c r="AZ67" s="826"/>
      <x:c r="BA67" s="826"/>
      <x:c r="BB67" s="826"/>
      <x:c r="BC67" s="826"/>
      <x:c r="BD67" s="826"/>
      <x:c r="BE67" s="826"/>
      <x:c r="BF67" s="826"/>
      <x:c r="BG67" s="826"/>
      <x:c r="BH67" s="826"/>
      <x:c r="BI67" s="826"/>
      <x:c r="BJ67" s="826"/>
    </x:row>
    <x:row r="68" ht="42" customHeight="1">
      <x:c r="A68" s="2"/>
      <x:c r="B68" s="820" t="str">
        <x:v>WBS-3.26</x:v>
      </x:c>
      <x:c r="C68" s="821" t="str">
        <x:f>'작업 상세'!C62</x:f>
        <x:v>모델 버전·활성화·사용량 구현</x:v>
      </x:c>
      <x:c r="D68" s="837" t="str">
        <x:v>김재현</x:v>
      </x:c>
      <x:c r="E68" s="838" t="n">
        <x:v>46338</x:v>
      </x:c>
      <x:c r="F68" s="838" t="n">
        <x:v>46340</x:v>
      </x:c>
      <x:c r="G68" s="824" t="n">
        <x:f>IF(OR(E68="",F68=""),"",IF(F68&lt;E68,"기간 확인",COUNTIFS($I$10:$BJ$10,"&gt;="&amp;E68,$I$10:$BJ$10,"&lt;="&amp;F68)))</x:f>
        <x:v>3</x:v>
      </x:c>
      <x:c r="H68" s="929" t="str">
        <x:f>IF(OR(NOT(ISNUMBER(E68)),NOT(ISNUMBER(F68)),F68&lt;E68),"날짜 확인",IF(TODAY()&lt;E68,"시작 전",IF(TODAY()&lt;=F68,"진행 중","완료")))</x:f>
        <x:v>시작 전</x:v>
      </x:c>
      <x:c r="I68" s="826"/>
      <x:c r="J68" s="826"/>
      <x:c r="K68" s="826"/>
      <x:c r="L68" s="826"/>
      <x:c r="M68" s="826"/>
      <x:c r="N68" s="826"/>
      <x:c r="O68" s="826"/>
      <x:c r="P68" s="826"/>
      <x:c r="Q68" s="826"/>
      <x:c r="R68" s="826"/>
      <x:c r="S68" s="826"/>
      <x:c r="T68" s="826"/>
      <x:c r="U68" s="826"/>
      <x:c r="V68" s="826"/>
      <x:c r="W68" s="826"/>
      <x:c r="X68" s="826"/>
      <x:c r="Y68" s="826"/>
      <x:c r="Z68" s="826"/>
      <x:c r="AA68" s="826"/>
      <x:c r="AB68" s="826"/>
      <x:c r="AC68" s="826"/>
      <x:c r="AD68" s="826"/>
      <x:c r="AE68" s="826"/>
      <x:c r="AF68" s="826"/>
      <x:c r="AG68" s="826"/>
      <x:c r="AH68" s="826"/>
      <x:c r="AI68" s="826"/>
      <x:c r="AJ68" s="826"/>
      <x:c r="AK68" s="826"/>
      <x:c r="AL68" s="826"/>
      <x:c r="AM68" s="826"/>
      <x:c r="AN68" s="826"/>
      <x:c r="AO68" s="826"/>
      <x:c r="AP68" s="826"/>
      <x:c r="AQ68" s="826"/>
      <x:c r="AR68" s="826"/>
      <x:c r="AS68" s="826"/>
      <x:c r="AT68" s="826"/>
      <x:c r="AU68" s="826"/>
      <x:c r="AV68" s="826"/>
      <x:c r="AW68" s="826"/>
      <x:c r="AX68" s="826"/>
      <x:c r="AY68" s="826"/>
      <x:c r="AZ68" s="826"/>
      <x:c r="BA68" s="826"/>
      <x:c r="BB68" s="826"/>
      <x:c r="BC68" s="826"/>
      <x:c r="BD68" s="826"/>
      <x:c r="BE68" s="826"/>
      <x:c r="BF68" s="826"/>
      <x:c r="BG68" s="826"/>
      <x:c r="BH68" s="826"/>
      <x:c r="BI68" s="826"/>
      <x:c r="BJ68" s="826"/>
    </x:row>
    <x:row r="69" ht="42" customHeight="1">
      <x:c r="A69" s="2"/>
      <x:c r="B69" s="820" t="str">
        <x:v>WBS-3.20</x:v>
      </x:c>
      <x:c r="C69" s="821" t="str">
        <x:f>'작업 상세'!C63</x:f>
        <x:v>사용자 알림 구현</x:v>
      </x:c>
      <x:c r="D69" s="837" t="str">
        <x:v>최인영</x:v>
      </x:c>
      <x:c r="E69" s="838" t="n">
        <x:v>46339</x:v>
      </x:c>
      <x:c r="F69" s="838" t="n">
        <x:v>46339</x:v>
      </x:c>
      <x:c r="G69" s="824" t="n">
        <x:f>IF(OR(E69="",F69=""),"",IF(F69&lt;E69,"기간 확인",COUNTIFS($I$10:$BJ$10,"&gt;="&amp;E69,$I$10:$BJ$10,"&lt;="&amp;F69)))</x:f>
        <x:v>1</x:v>
      </x:c>
      <x:c r="H69" s="929" t="str">
        <x:f>IF(OR(NOT(ISNUMBER(E69)),NOT(ISNUMBER(F69)),F69&lt;E69),"날짜 확인",IF(TODAY()&lt;E69,"시작 전",IF(TODAY()&lt;=F69,"진행 중","완료")))</x:f>
        <x:v>시작 전</x:v>
      </x:c>
      <x:c r="I69" s="826"/>
      <x:c r="J69" s="826"/>
      <x:c r="K69" s="826"/>
      <x:c r="L69" s="826"/>
      <x:c r="M69" s="826"/>
      <x:c r="N69" s="826"/>
      <x:c r="O69" s="826"/>
      <x:c r="P69" s="826"/>
      <x:c r="Q69" s="826"/>
      <x:c r="R69" s="826"/>
      <x:c r="S69" s="826"/>
      <x:c r="T69" s="826"/>
      <x:c r="U69" s="826"/>
      <x:c r="V69" s="826"/>
      <x:c r="W69" s="826"/>
      <x:c r="X69" s="826"/>
      <x:c r="Y69" s="826"/>
      <x:c r="Z69" s="826"/>
      <x:c r="AA69" s="826"/>
      <x:c r="AB69" s="826"/>
      <x:c r="AC69" s="826"/>
      <x:c r="AD69" s="826"/>
      <x:c r="AE69" s="826"/>
      <x:c r="AF69" s="826"/>
      <x:c r="AG69" s="826"/>
      <x:c r="AH69" s="826"/>
      <x:c r="AI69" s="826"/>
      <x:c r="AJ69" s="826"/>
      <x:c r="AK69" s="826"/>
      <x:c r="AL69" s="826"/>
      <x:c r="AM69" s="826"/>
      <x:c r="AN69" s="826"/>
      <x:c r="AO69" s="826"/>
      <x:c r="AP69" s="826"/>
      <x:c r="AQ69" s="826"/>
      <x:c r="AR69" s="826"/>
      <x:c r="AS69" s="826"/>
      <x:c r="AT69" s="826"/>
      <x:c r="AU69" s="826"/>
      <x:c r="AV69" s="826"/>
      <x:c r="AW69" s="826"/>
      <x:c r="AX69" s="826"/>
      <x:c r="AY69" s="826"/>
      <x:c r="AZ69" s="826"/>
      <x:c r="BA69" s="826"/>
      <x:c r="BB69" s="826"/>
      <x:c r="BC69" s="826"/>
      <x:c r="BD69" s="826"/>
      <x:c r="BE69" s="826"/>
      <x:c r="BF69" s="826"/>
      <x:c r="BG69" s="826"/>
      <x:c r="BH69" s="826"/>
      <x:c r="BI69" s="826"/>
      <x:c r="BJ69" s="826"/>
    </x:row>
    <x:row r="70" ht="42" customHeight="1">
      <x:c r="A70" s="2"/>
      <x:c r="B70" s="820" t="str">
        <x:v>WBS-3.21</x:v>
      </x:c>
      <x:c r="C70" s="821" t="str">
        <x:f>'작업 상세'!C64</x:f>
        <x:v>관리자 대시보드·조치 연결</x:v>
      </x:c>
      <x:c r="D70" s="837" t="str">
        <x:v>황수빈</x:v>
      </x:c>
      <x:c r="E70" s="838" t="n">
        <x:v>46339</x:v>
      </x:c>
      <x:c r="F70" s="838" t="n">
        <x:v>46339</x:v>
      </x:c>
      <x:c r="G70" s="824" t="n">
        <x:f>IF(OR(E70="",F70=""),"",IF(F70&lt;E70,"기간 확인",COUNTIFS($I$10:$BJ$10,"&gt;="&amp;E70,$I$10:$BJ$10,"&lt;="&amp;F70)))</x:f>
        <x:v>1</x:v>
      </x:c>
      <x:c r="H70" s="929" t="str">
        <x:f>IF(OR(NOT(ISNUMBER(E70)),NOT(ISNUMBER(F70)),F70&lt;E70),"날짜 확인",IF(TODAY()&lt;E70,"시작 전",IF(TODAY()&lt;=F70,"진행 중","완료")))</x:f>
        <x:v>시작 전</x:v>
      </x:c>
      <x:c r="I70" s="826"/>
      <x:c r="J70" s="826"/>
      <x:c r="K70" s="826"/>
      <x:c r="L70" s="826"/>
      <x:c r="M70" s="826"/>
      <x:c r="N70" s="826"/>
      <x:c r="O70" s="826"/>
      <x:c r="P70" s="826"/>
      <x:c r="Q70" s="826"/>
      <x:c r="R70" s="826"/>
      <x:c r="S70" s="826"/>
      <x:c r="T70" s="826"/>
      <x:c r="U70" s="826"/>
      <x:c r="V70" s="826"/>
      <x:c r="W70" s="826"/>
      <x:c r="X70" s="826"/>
      <x:c r="Y70" s="826"/>
      <x:c r="Z70" s="826"/>
      <x:c r="AA70" s="826"/>
      <x:c r="AB70" s="826"/>
      <x:c r="AC70" s="826"/>
      <x:c r="AD70" s="826"/>
      <x:c r="AE70" s="826"/>
      <x:c r="AF70" s="826"/>
      <x:c r="AG70" s="826"/>
      <x:c r="AH70" s="826"/>
      <x:c r="AI70" s="826"/>
      <x:c r="AJ70" s="826"/>
      <x:c r="AK70" s="826"/>
      <x:c r="AL70" s="826"/>
      <x:c r="AM70" s="826"/>
      <x:c r="AN70" s="826"/>
      <x:c r="AO70" s="826"/>
      <x:c r="AP70" s="826"/>
      <x:c r="AQ70" s="826"/>
      <x:c r="AR70" s="826"/>
      <x:c r="AS70" s="826"/>
      <x:c r="AT70" s="826"/>
      <x:c r="AU70" s="826"/>
      <x:c r="AV70" s="826"/>
      <x:c r="AW70" s="826"/>
      <x:c r="AX70" s="826"/>
      <x:c r="AY70" s="826"/>
      <x:c r="AZ70" s="826"/>
      <x:c r="BA70" s="826"/>
      <x:c r="BB70" s="826"/>
      <x:c r="BC70" s="826"/>
      <x:c r="BD70" s="826"/>
      <x:c r="BE70" s="826"/>
      <x:c r="BF70" s="826"/>
      <x:c r="BG70" s="826"/>
      <x:c r="BH70" s="826"/>
      <x:c r="BI70" s="826"/>
      <x:c r="BJ70" s="826"/>
    </x:row>
    <x:row r="71" ht="42" customHeight="1">
      <x:c r="A71" s="2"/>
      <x:c r="B71" s="820" t="str">
        <x:v>WBS-3.30</x:v>
      </x:c>
      <x:c r="C71" s="821" t="str">
        <x:f>'작업 상세'!C65</x:f>
        <x:v>모델 결과·리포트 연동 구성</x:v>
      </x:c>
      <x:c r="D71" s="837" t="str">
        <x:v>최성욱</x:v>
      </x:c>
      <x:c r="E71" s="838" t="n">
        <x:v>46340</x:v>
      </x:c>
      <x:c r="F71" s="838" t="n">
        <x:v>46340</x:v>
      </x:c>
      <x:c r="G71" s="824" t="n">
        <x:f>IF(OR(E71="",F71=""),"",IF(F71&lt;E71,"기간 확인",COUNTIFS($I$10:$BJ$10,"&gt;="&amp;E71,$I$10:$BJ$10,"&lt;="&amp;F71)))</x:f>
        <x:v>1</x:v>
      </x:c>
      <x:c r="H71" s="929" t="str">
        <x:f>IF(OR(NOT(ISNUMBER(E71)),NOT(ISNUMBER(F71)),F71&lt;E71),"날짜 확인",IF(TODAY()&lt;E71,"시작 전",IF(TODAY()&lt;=F71,"진행 중","완료")))</x:f>
        <x:v>시작 전</x:v>
      </x:c>
      <x:c r="I71" s="826"/>
      <x:c r="J71" s="826"/>
      <x:c r="K71" s="826"/>
      <x:c r="L71" s="826"/>
      <x:c r="M71" s="826"/>
      <x:c r="N71" s="826"/>
      <x:c r="O71" s="826"/>
      <x:c r="P71" s="826"/>
      <x:c r="Q71" s="826"/>
      <x:c r="R71" s="826"/>
      <x:c r="S71" s="826"/>
      <x:c r="T71" s="826"/>
      <x:c r="U71" s="826"/>
      <x:c r="V71" s="826"/>
      <x:c r="W71" s="826"/>
      <x:c r="X71" s="826"/>
      <x:c r="Y71" s="826"/>
      <x:c r="Z71" s="826"/>
      <x:c r="AA71" s="826"/>
      <x:c r="AB71" s="826"/>
      <x:c r="AC71" s="826"/>
      <x:c r="AD71" s="826"/>
      <x:c r="AE71" s="826"/>
      <x:c r="AF71" s="826"/>
      <x:c r="AG71" s="826"/>
      <x:c r="AH71" s="826"/>
      <x:c r="AI71" s="826"/>
      <x:c r="AJ71" s="826"/>
      <x:c r="AK71" s="826"/>
      <x:c r="AL71" s="826"/>
      <x:c r="AM71" s="826"/>
      <x:c r="AN71" s="826"/>
      <x:c r="AO71" s="826"/>
      <x:c r="AP71" s="826"/>
      <x:c r="AQ71" s="826"/>
      <x:c r="AR71" s="826"/>
      <x:c r="AS71" s="826"/>
      <x:c r="AT71" s="826"/>
      <x:c r="AU71" s="826"/>
      <x:c r="AV71" s="826"/>
      <x:c r="AW71" s="826"/>
      <x:c r="AX71" s="826"/>
      <x:c r="AY71" s="826"/>
      <x:c r="AZ71" s="826"/>
      <x:c r="BA71" s="826"/>
      <x:c r="BB71" s="826"/>
      <x:c r="BC71" s="826"/>
      <x:c r="BD71" s="826"/>
      <x:c r="BE71" s="826"/>
      <x:c r="BF71" s="826"/>
      <x:c r="BG71" s="826"/>
      <x:c r="BH71" s="826"/>
      <x:c r="BI71" s="826"/>
      <x:c r="BJ71" s="826"/>
    </x:row>
    <x:row r="72" ht="42" customHeight="1">
      <x:c r="A72" s="2"/>
      <x:c r="B72" s="820" t="str">
        <x:v>WBS-3.37</x:v>
      </x:c>
      <x:c r="C72" s="821" t="str">
        <x:f>'작업 상세'!C66</x:f>
        <x:v>쓰기 과정 집계 저장·중복 제어</x:v>
      </x:c>
      <x:c r="D72" s="837" t="str">
        <x:v>최인영</x:v>
      </x:c>
      <x:c r="E72" s="838" t="n">
        <x:v>46340</x:v>
      </x:c>
      <x:c r="F72" s="838" t="n">
        <x:v>46341</x:v>
      </x:c>
      <x:c r="G72" s="824" t="n">
        <x:f>IF(OR(E72="",F72=""),"",IF(F72&lt;E72,"기간 확인",COUNTIFS($I$10:$BJ$10,"&gt;="&amp;E72,$I$10:$BJ$10,"&lt;="&amp;F72)))</x:f>
        <x:v>2</x:v>
      </x:c>
      <x:c r="H72" s="929" t="str">
        <x:f>IF(OR(NOT(ISNUMBER(E72)),NOT(ISNUMBER(F72)),F72&lt;E72),"날짜 확인",IF(TODAY()&lt;E72,"시작 전",IF(TODAY()&lt;=F72,"진행 중","완료")))</x:f>
        <x:v>시작 전</x:v>
      </x:c>
      <x:c r="I72" s="826"/>
      <x:c r="J72" s="826"/>
      <x:c r="K72" s="826"/>
      <x:c r="L72" s="826"/>
      <x:c r="M72" s="826"/>
      <x:c r="N72" s="826"/>
      <x:c r="O72" s="826"/>
      <x:c r="P72" s="826"/>
      <x:c r="Q72" s="826"/>
      <x:c r="R72" s="826"/>
      <x:c r="S72" s="826"/>
      <x:c r="T72" s="826"/>
      <x:c r="U72" s="826"/>
      <x:c r="V72" s="826"/>
      <x:c r="W72" s="826"/>
      <x:c r="X72" s="826"/>
      <x:c r="Y72" s="826"/>
      <x:c r="Z72" s="826"/>
      <x:c r="AA72" s="826"/>
      <x:c r="AB72" s="826"/>
      <x:c r="AC72" s="826"/>
      <x:c r="AD72" s="826"/>
      <x:c r="AE72" s="826"/>
      <x:c r="AF72" s="826"/>
      <x:c r="AG72" s="826"/>
      <x:c r="AH72" s="826"/>
      <x:c r="AI72" s="826"/>
      <x:c r="AJ72" s="826"/>
      <x:c r="AK72" s="826"/>
      <x:c r="AL72" s="826"/>
      <x:c r="AM72" s="826"/>
      <x:c r="AN72" s="826"/>
      <x:c r="AO72" s="826"/>
      <x:c r="AP72" s="826"/>
      <x:c r="AQ72" s="826"/>
      <x:c r="AR72" s="826"/>
      <x:c r="AS72" s="826"/>
      <x:c r="AT72" s="826"/>
      <x:c r="AU72" s="826"/>
      <x:c r="AV72" s="826"/>
      <x:c r="AW72" s="826"/>
      <x:c r="AX72" s="826"/>
      <x:c r="AY72" s="826"/>
      <x:c r="AZ72" s="826"/>
      <x:c r="BA72" s="826"/>
      <x:c r="BB72" s="826"/>
      <x:c r="BC72" s="826"/>
      <x:c r="BD72" s="826"/>
      <x:c r="BE72" s="826"/>
      <x:c r="BF72" s="826"/>
      <x:c r="BG72" s="826"/>
      <x:c r="BH72" s="826"/>
      <x:c r="BI72" s="826"/>
      <x:c r="BJ72" s="826"/>
    </x:row>
    <x:row r="73" ht="42" customHeight="1">
      <x:c r="A73" s="50"/>
      <x:c r="B73" s="820" t="str">
        <x:v>WBS-3.38</x:v>
      </x:c>
      <x:c r="C73" s="821" t="str">
        <x:f>'작업 상세'!C67</x:f>
        <x:v>쓰기 집계 수집·상태 안내 화면</x:v>
      </x:c>
      <x:c r="D73" s="837" t="str">
        <x:v>황수빈</x:v>
      </x:c>
      <x:c r="E73" s="838" t="n">
        <x:v>46340</x:v>
      </x:c>
      <x:c r="F73" s="838" t="n">
        <x:v>46340</x:v>
      </x:c>
      <x:c r="G73" s="824" t="n">
        <x:f>IF(OR(E73="",F73=""),"",IF(F73&lt;E73,"기간 확인",COUNTIFS($I$10:$BJ$10,"&gt;="&amp;E73,$I$10:$BJ$10,"&lt;="&amp;F73)))</x:f>
        <x:v>1</x:v>
      </x:c>
      <x:c r="H73" s="929" t="str">
        <x:f>IF(OR(NOT(ISNUMBER(E73)),NOT(ISNUMBER(F73)),F73&lt;E73),"날짜 확인",IF(TODAY()&lt;E73,"시작 전",IF(TODAY()&lt;=F73,"진행 중","완료")))</x:f>
        <x:v>시작 전</x:v>
      </x:c>
      <x:c r="I73" s="826"/>
      <x:c r="J73" s="826"/>
      <x:c r="K73" s="826"/>
      <x:c r="L73" s="826"/>
      <x:c r="M73" s="826"/>
      <x:c r="N73" s="826"/>
      <x:c r="O73" s="826"/>
      <x:c r="P73" s="826"/>
      <x:c r="Q73" s="826"/>
      <x:c r="R73" s="826"/>
      <x:c r="S73" s="826"/>
      <x:c r="T73" s="826"/>
      <x:c r="U73" s="826"/>
      <x:c r="V73" s="826"/>
      <x:c r="W73" s="826"/>
      <x:c r="X73" s="826"/>
      <x:c r="Y73" s="826"/>
      <x:c r="Z73" s="826"/>
      <x:c r="AA73" s="826"/>
      <x:c r="AB73" s="826"/>
      <x:c r="AC73" s="826"/>
      <x:c r="AD73" s="826"/>
      <x:c r="AE73" s="826"/>
      <x:c r="AF73" s="826"/>
      <x:c r="AG73" s="826"/>
      <x:c r="AH73" s="826"/>
      <x:c r="AI73" s="826"/>
      <x:c r="AJ73" s="826"/>
      <x:c r="AK73" s="826"/>
      <x:c r="AL73" s="826"/>
      <x:c r="AM73" s="826"/>
      <x:c r="AN73" s="826"/>
      <x:c r="AO73" s="826"/>
      <x:c r="AP73" s="826"/>
      <x:c r="AQ73" s="826"/>
      <x:c r="AR73" s="826"/>
      <x:c r="AS73" s="826"/>
      <x:c r="AT73" s="826"/>
      <x:c r="AU73" s="826"/>
      <x:c r="AV73" s="826"/>
      <x:c r="AW73" s="826"/>
      <x:c r="AX73" s="826"/>
      <x:c r="AY73" s="826"/>
      <x:c r="AZ73" s="826"/>
      <x:c r="BA73" s="826"/>
      <x:c r="BB73" s="826"/>
      <x:c r="BC73" s="826"/>
      <x:c r="BD73" s="826"/>
      <x:c r="BE73" s="826"/>
      <x:c r="BF73" s="826"/>
      <x:c r="BG73" s="826"/>
      <x:c r="BH73" s="826"/>
      <x:c r="BI73" s="826"/>
      <x:c r="BJ73" s="826"/>
    </x:row>
    <x:row r="74" ht="42" customHeight="1">
      <x:c r="A74" s="50"/>
      <x:c r="B74" s="820" t="str">
        <x:v>WBS-3.46</x:v>
      </x:c>
      <x:c r="C74" s="821" t="str">
        <x:f>'작업 상세'!C68</x:f>
        <x:v>35미션·검증 범위·기준표 최종 인계</x:v>
      </x:c>
      <x:c r="D74" s="837" t="str">
        <x:v>김동섭</x:v>
      </x:c>
      <x:c r="E74" s="838" t="n">
        <x:v>46340</x:v>
      </x:c>
      <x:c r="F74" s="838" t="n">
        <x:v>46341</x:v>
      </x:c>
      <x:c r="G74" s="824" t="n">
        <x:f>IF(OR(E74="",F74=""),"",IF(F74&lt;E74,"기간 확인",COUNTIFS($I$10:$BJ$10,"&gt;="&amp;E74,$I$10:$BJ$10,"&lt;="&amp;F74)))</x:f>
        <x:v>2</x:v>
      </x:c>
      <x:c r="H74" s="929" t="str">
        <x:f>IF(OR(NOT(ISNUMBER(E74)),NOT(ISNUMBER(F74)),F74&lt;E74),"날짜 확인",IF(TODAY()&lt;E74,"시작 전",IF(TODAY()&lt;=F74,"진행 중","완료")))</x:f>
        <x:v>시작 전</x:v>
      </x:c>
      <x:c r="I74" s="826"/>
      <x:c r="J74" s="826"/>
      <x:c r="K74" s="826"/>
      <x:c r="L74" s="826"/>
      <x:c r="M74" s="826"/>
      <x:c r="N74" s="826"/>
      <x:c r="O74" s="826"/>
      <x:c r="P74" s="826"/>
      <x:c r="Q74" s="826"/>
      <x:c r="R74" s="826"/>
      <x:c r="S74" s="826"/>
      <x:c r="T74" s="826"/>
      <x:c r="U74" s="826"/>
      <x:c r="V74" s="826"/>
      <x:c r="W74" s="826"/>
      <x:c r="X74" s="826"/>
      <x:c r="Y74" s="826"/>
      <x:c r="Z74" s="826"/>
      <x:c r="AA74" s="826"/>
      <x:c r="AB74" s="826"/>
      <x:c r="AC74" s="826"/>
      <x:c r="AD74" s="826"/>
      <x:c r="AE74" s="826"/>
      <x:c r="AF74" s="826"/>
      <x:c r="AG74" s="826"/>
      <x:c r="AH74" s="826"/>
      <x:c r="AI74" s="826"/>
      <x:c r="AJ74" s="826"/>
      <x:c r="AK74" s="826"/>
      <x:c r="AL74" s="826"/>
      <x:c r="AM74" s="826"/>
      <x:c r="AN74" s="826"/>
      <x:c r="AO74" s="826"/>
      <x:c r="AP74" s="826"/>
      <x:c r="AQ74" s="826"/>
      <x:c r="AR74" s="826"/>
      <x:c r="AS74" s="826"/>
      <x:c r="AT74" s="826"/>
      <x:c r="AU74" s="826"/>
      <x:c r="AV74" s="826"/>
      <x:c r="AW74" s="826"/>
      <x:c r="AX74" s="826"/>
      <x:c r="AY74" s="826"/>
      <x:c r="AZ74" s="826"/>
      <x:c r="BA74" s="826"/>
      <x:c r="BB74" s="826"/>
      <x:c r="BC74" s="826"/>
      <x:c r="BD74" s="826"/>
      <x:c r="BE74" s="826"/>
      <x:c r="BF74" s="826"/>
      <x:c r="BG74" s="826"/>
      <x:c r="BH74" s="826"/>
      <x:c r="BI74" s="826"/>
      <x:c r="BJ74" s="826"/>
    </x:row>
    <x:row r="75" ht="42" customHeight="1">
      <x:c r="A75" s="50"/>
      <x:c r="B75" s="820" t="str">
        <x:v>WBS-3.31</x:v>
      </x:c>
      <x:c r="C75" s="821" t="str">
        <x:f>'작업 상세'!C69</x:f>
        <x:v>최종 자동 검증 코드 작성</x:v>
      </x:c>
      <x:c r="D75" s="837" t="str">
        <x:v>김태윤</x:v>
      </x:c>
      <x:c r="E75" s="838" t="n">
        <x:v>46341</x:v>
      </x:c>
      <x:c r="F75" s="838" t="n">
        <x:v>46344</x:v>
      </x:c>
      <x:c r="G75" s="824" t="n">
        <x:f>IF(OR(E75="",F75=""),"",IF(F75&lt;E75,"기간 확인",COUNTIFS($I$10:$BJ$10,"&gt;="&amp;E75,$I$10:$BJ$10,"&lt;="&amp;F75)))</x:f>
        <x:v>4</x:v>
      </x:c>
      <x:c r="H75" s="929" t="str">
        <x:f>IF(OR(NOT(ISNUMBER(E75)),NOT(ISNUMBER(F75)),F75&lt;E75),"날짜 확인",IF(TODAY()&lt;E75,"시작 전",IF(TODAY()&lt;=F75,"진행 중","완료")))</x:f>
        <x:v>시작 전</x:v>
      </x:c>
      <x:c r="I75" s="826"/>
      <x:c r="J75" s="826"/>
      <x:c r="K75" s="826"/>
      <x:c r="L75" s="826"/>
      <x:c r="M75" s="826"/>
      <x:c r="N75" s="826"/>
      <x:c r="O75" s="826"/>
      <x:c r="P75" s="826"/>
      <x:c r="Q75" s="826"/>
      <x:c r="R75" s="826"/>
      <x:c r="S75" s="826"/>
      <x:c r="T75" s="826"/>
      <x:c r="U75" s="826"/>
      <x:c r="V75" s="826"/>
      <x:c r="W75" s="826"/>
      <x:c r="X75" s="826"/>
      <x:c r="Y75" s="826"/>
      <x:c r="Z75" s="826"/>
      <x:c r="AA75" s="826"/>
      <x:c r="AB75" s="826"/>
      <x:c r="AC75" s="826"/>
      <x:c r="AD75" s="826"/>
      <x:c r="AE75" s="826"/>
      <x:c r="AF75" s="826"/>
      <x:c r="AG75" s="826"/>
      <x:c r="AH75" s="826"/>
      <x:c r="AI75" s="826"/>
      <x:c r="AJ75" s="826"/>
      <x:c r="AK75" s="826"/>
      <x:c r="AL75" s="826"/>
      <x:c r="AM75" s="826"/>
      <x:c r="AN75" s="826"/>
      <x:c r="AO75" s="826"/>
      <x:c r="AP75" s="826"/>
      <x:c r="AQ75" s="826"/>
      <x:c r="AR75" s="826"/>
      <x:c r="AS75" s="826"/>
      <x:c r="AT75" s="826"/>
      <x:c r="AU75" s="826"/>
      <x:c r="AV75" s="826"/>
      <x:c r="AW75" s="826"/>
      <x:c r="AX75" s="826"/>
      <x:c r="AY75" s="826"/>
      <x:c r="AZ75" s="826"/>
      <x:c r="BA75" s="826"/>
      <x:c r="BB75" s="826"/>
      <x:c r="BC75" s="826"/>
      <x:c r="BD75" s="826"/>
      <x:c r="BE75" s="826"/>
      <x:c r="BF75" s="826"/>
      <x:c r="BG75" s="826"/>
      <x:c r="BH75" s="826"/>
      <x:c r="BI75" s="826"/>
      <x:c r="BJ75" s="826"/>
    </x:row>
    <x:row r="76" ht="42" customHeight="1">
      <x:c r="A76" s="50"/>
      <x:c r="B76" s="820" t="str">
        <x:v>WBS-3.40</x:v>
      </x:c>
      <x:c r="C76" s="821" t="str">
        <x:f>'작업 상세'!C70</x:f>
        <x:v>다음·복귀 미션 선택 화면</x:v>
      </x:c>
      <x:c r="D76" s="837" t="str">
        <x:v>황수빈</x:v>
      </x:c>
      <x:c r="E76" s="838" t="n">
        <x:v>46341</x:v>
      </x:c>
      <x:c r="F76" s="838" t="n">
        <x:v>46341</x:v>
      </x:c>
      <x:c r="G76" s="824" t="n">
        <x:f>IF(OR(E76="",F76=""),"",IF(F76&lt;E76,"기간 확인",COUNTIFS($I$10:$BJ$10,"&gt;="&amp;E76,$I$10:$BJ$10,"&lt;="&amp;F76)))</x:f>
        <x:v>1</x:v>
      </x:c>
      <x:c r="H76" s="929" t="str">
        <x:f>IF(OR(NOT(ISNUMBER(E76)),NOT(ISNUMBER(F76)),F76&lt;E76),"날짜 확인",IF(TODAY()&lt;E76,"시작 전",IF(TODAY()&lt;=F76,"진행 중","완료")))</x:f>
        <x:v>시작 전</x:v>
      </x:c>
      <x:c r="I76" s="826"/>
      <x:c r="J76" s="826"/>
      <x:c r="K76" s="826"/>
      <x:c r="L76" s="826"/>
      <x:c r="M76" s="826"/>
      <x:c r="N76" s="826"/>
      <x:c r="O76" s="826"/>
      <x:c r="P76" s="826"/>
      <x:c r="Q76" s="826"/>
      <x:c r="R76" s="826"/>
      <x:c r="S76" s="826"/>
      <x:c r="T76" s="826"/>
      <x:c r="U76" s="826"/>
      <x:c r="V76" s="826"/>
      <x:c r="W76" s="826"/>
      <x:c r="X76" s="826"/>
      <x:c r="Y76" s="826"/>
      <x:c r="Z76" s="826"/>
      <x:c r="AA76" s="826"/>
      <x:c r="AB76" s="826"/>
      <x:c r="AC76" s="826"/>
      <x:c r="AD76" s="826"/>
      <x:c r="AE76" s="826"/>
      <x:c r="AF76" s="826"/>
      <x:c r="AG76" s="826"/>
      <x:c r="AH76" s="826"/>
      <x:c r="AI76" s="826"/>
      <x:c r="AJ76" s="826"/>
      <x:c r="AK76" s="826"/>
      <x:c r="AL76" s="826"/>
      <x:c r="AM76" s="826"/>
      <x:c r="AN76" s="826"/>
      <x:c r="AO76" s="826"/>
      <x:c r="AP76" s="826"/>
      <x:c r="AQ76" s="826"/>
      <x:c r="AR76" s="826"/>
      <x:c r="AS76" s="826"/>
      <x:c r="AT76" s="826"/>
      <x:c r="AU76" s="826"/>
      <x:c r="AV76" s="826"/>
      <x:c r="AW76" s="826"/>
      <x:c r="AX76" s="826"/>
      <x:c r="AY76" s="826"/>
      <x:c r="AZ76" s="826"/>
      <x:c r="BA76" s="826"/>
      <x:c r="BB76" s="826"/>
      <x:c r="BC76" s="826"/>
      <x:c r="BD76" s="826"/>
      <x:c r="BE76" s="826"/>
      <x:c r="BF76" s="826"/>
      <x:c r="BG76" s="826"/>
      <x:c r="BH76" s="826"/>
      <x:c r="BI76" s="826"/>
      <x:c r="BJ76" s="826"/>
    </x:row>
    <x:row r="77" ht="42" customHeight="1">
      <x:c r="A77" s="50"/>
      <x:c r="B77" s="820" t="str">
        <x:v>WBS-3.39</x:v>
      </x:c>
      <x:c r="C77" s="821" t="str">
        <x:f>'작업 상세'!C71</x:f>
        <x:v>다음·복귀 미션 추천 규칙 구현</x:v>
      </x:c>
      <x:c r="D77" s="837" t="str">
        <x:v>최성욱</x:v>
      </x:c>
      <x:c r="E77" s="838" t="n">
        <x:v>46342</x:v>
      </x:c>
      <x:c r="F77" s="838" t="n">
        <x:v>46342</x:v>
      </x:c>
      <x:c r="G77" s="824" t="n">
        <x:f>IF(OR(E77="",F77=""),"",IF(F77&lt;E77,"기간 확인",COUNTIFS($I$10:$BJ$10,"&gt;="&amp;E77,$I$10:$BJ$10,"&lt;="&amp;F77)))</x:f>
        <x:v>1</x:v>
      </x:c>
      <x:c r="H77" s="929" t="str">
        <x:f>IF(OR(NOT(ISNUMBER(E77)),NOT(ISNUMBER(F77)),F77&lt;E77),"날짜 확인",IF(TODAY()&lt;E77,"시작 전",IF(TODAY()&lt;=F77,"진행 중","완료")))</x:f>
        <x:v>시작 전</x:v>
      </x:c>
      <x:c r="I77" s="826"/>
      <x:c r="J77" s="826"/>
      <x:c r="K77" s="826"/>
      <x:c r="L77" s="826"/>
      <x:c r="M77" s="826"/>
      <x:c r="N77" s="826"/>
      <x:c r="O77" s="826"/>
      <x:c r="P77" s="826"/>
      <x:c r="Q77" s="826"/>
      <x:c r="R77" s="826"/>
      <x:c r="S77" s="826"/>
      <x:c r="T77" s="826"/>
      <x:c r="U77" s="826"/>
      <x:c r="V77" s="826"/>
      <x:c r="W77" s="826"/>
      <x:c r="X77" s="826"/>
      <x:c r="Y77" s="826"/>
      <x:c r="Z77" s="826"/>
      <x:c r="AA77" s="826"/>
      <x:c r="AB77" s="826"/>
      <x:c r="AC77" s="826"/>
      <x:c r="AD77" s="826"/>
      <x:c r="AE77" s="826"/>
      <x:c r="AF77" s="826"/>
      <x:c r="AG77" s="826"/>
      <x:c r="AH77" s="826"/>
      <x:c r="AI77" s="826"/>
      <x:c r="AJ77" s="826"/>
      <x:c r="AK77" s="826"/>
      <x:c r="AL77" s="826"/>
      <x:c r="AM77" s="826"/>
      <x:c r="AN77" s="826"/>
      <x:c r="AO77" s="826"/>
      <x:c r="AP77" s="826"/>
      <x:c r="AQ77" s="826"/>
      <x:c r="AR77" s="826"/>
      <x:c r="AS77" s="826"/>
      <x:c r="AT77" s="826"/>
      <x:c r="AU77" s="826"/>
      <x:c r="AV77" s="826"/>
      <x:c r="AW77" s="826"/>
      <x:c r="AX77" s="826"/>
      <x:c r="AY77" s="826"/>
      <x:c r="AZ77" s="826"/>
      <x:c r="BA77" s="826"/>
      <x:c r="BB77" s="826"/>
      <x:c r="BC77" s="826"/>
      <x:c r="BD77" s="826"/>
      <x:c r="BE77" s="826"/>
      <x:c r="BF77" s="826"/>
      <x:c r="BG77" s="826"/>
      <x:c r="BH77" s="826"/>
      <x:c r="BI77" s="826"/>
      <x:c r="BJ77" s="826"/>
    </x:row>
    <x:row r="78" ht="42" customHeight="1">
      <x:c r="A78" s="50"/>
      <x:c r="B78" s="820" t="str">
        <x:v>WBS-3.41</x:v>
      </x:c>
      <x:c r="C78" s="821" t="str">
        <x:f>'작업 상세'!C72</x:f>
        <x:v>생각 조각 성장 지도 구현</x:v>
      </x:c>
      <x:c r="D78" s="837" t="str">
        <x:v>황수빈</x:v>
      </x:c>
      <x:c r="E78" s="838" t="n">
        <x:v>46342</x:v>
      </x:c>
      <x:c r="F78" s="838" t="n">
        <x:v>46343</x:v>
      </x:c>
      <x:c r="G78" s="824" t="n">
        <x:f>IF(OR(E78="",F78=""),"",IF(F78&lt;E78,"기간 확인",COUNTIFS($I$10:$BJ$10,"&gt;="&amp;E78,$I$10:$BJ$10,"&lt;="&amp;F78)))</x:f>
        <x:v>2</x:v>
      </x:c>
      <x:c r="H78" s="929" t="str">
        <x:f>IF(OR(NOT(ISNUMBER(E78)),NOT(ISNUMBER(F78)),F78&lt;E78),"날짜 확인",IF(TODAY()&lt;E78,"시작 전",IF(TODAY()&lt;=F78,"진행 중","완료")))</x:f>
        <x:v>시작 전</x:v>
      </x:c>
      <x:c r="I78" s="826"/>
      <x:c r="J78" s="826"/>
      <x:c r="K78" s="826"/>
      <x:c r="L78" s="826"/>
      <x:c r="M78" s="826"/>
      <x:c r="N78" s="826"/>
      <x:c r="O78" s="826"/>
      <x:c r="P78" s="826"/>
      <x:c r="Q78" s="826"/>
      <x:c r="R78" s="826"/>
      <x:c r="S78" s="826"/>
      <x:c r="T78" s="826"/>
      <x:c r="U78" s="826"/>
      <x:c r="V78" s="826"/>
      <x:c r="W78" s="826"/>
      <x:c r="X78" s="826"/>
      <x:c r="Y78" s="826"/>
      <x:c r="Z78" s="826"/>
      <x:c r="AA78" s="826"/>
      <x:c r="AB78" s="826"/>
      <x:c r="AC78" s="826"/>
      <x:c r="AD78" s="826"/>
      <x:c r="AE78" s="826"/>
      <x:c r="AF78" s="826"/>
      <x:c r="AG78" s="826"/>
      <x:c r="AH78" s="826"/>
      <x:c r="AI78" s="826"/>
      <x:c r="AJ78" s="826"/>
      <x:c r="AK78" s="826"/>
      <x:c r="AL78" s="826"/>
      <x:c r="AM78" s="826"/>
      <x:c r="AN78" s="826"/>
      <x:c r="AO78" s="826"/>
      <x:c r="AP78" s="826"/>
      <x:c r="AQ78" s="826"/>
      <x:c r="AR78" s="826"/>
      <x:c r="AS78" s="826"/>
      <x:c r="AT78" s="826"/>
      <x:c r="AU78" s="826"/>
      <x:c r="AV78" s="826"/>
      <x:c r="AW78" s="826"/>
      <x:c r="AX78" s="826"/>
      <x:c r="AY78" s="826"/>
      <x:c r="AZ78" s="826"/>
      <x:c r="BA78" s="826"/>
      <x:c r="BB78" s="826"/>
      <x:c r="BC78" s="826"/>
      <x:c r="BD78" s="826"/>
      <x:c r="BE78" s="826"/>
      <x:c r="BF78" s="826"/>
      <x:c r="BG78" s="826"/>
      <x:c r="BH78" s="826"/>
      <x:c r="BI78" s="826"/>
      <x:c r="BJ78" s="826"/>
    </x:row>
    <x:row r="79" ht="42" customHeight="1">
      <x:c r="A79" s="50"/>
      <x:c r="B79" s="820" t="str">
        <x:v>WBS-3.45</x:v>
      </x:c>
      <x:c r="C79" s="821" t="str">
        <x:f>'작업 상세'!C73</x:f>
        <x:v>가상4주 기록·평가 입력 생성 구현</x:v>
      </x:c>
      <x:c r="D79" s="837" t="str">
        <x:v>최인영</x:v>
      </x:c>
      <x:c r="E79" s="838" t="n">
        <x:v>46342</x:v>
      </x:c>
      <x:c r="F79" s="838" t="n">
        <x:v>46343</x:v>
      </x:c>
      <x:c r="G79" s="824" t="n">
        <x:f>IF(OR(E79="",F79=""),"",IF(F79&lt;E79,"기간 확인",COUNTIFS($I$10:$BJ$10,"&gt;="&amp;E79,$I$10:$BJ$10,"&lt;="&amp;F79)))</x:f>
        <x:v>2</x:v>
      </x:c>
      <x:c r="H79" s="929" t="str">
        <x:f>IF(OR(NOT(ISNUMBER(E79)),NOT(ISNUMBER(F79)),F79&lt;E79),"날짜 확인",IF(TODAY()&lt;E79,"시작 전",IF(TODAY()&lt;=F79,"진행 중","완료")))</x:f>
        <x:v>시작 전</x:v>
      </x:c>
      <x:c r="I79" s="826"/>
      <x:c r="J79" s="826"/>
      <x:c r="K79" s="826"/>
      <x:c r="L79" s="826"/>
      <x:c r="M79" s="826"/>
      <x:c r="N79" s="826"/>
      <x:c r="O79" s="826"/>
      <x:c r="P79" s="826"/>
      <x:c r="Q79" s="826"/>
      <x:c r="R79" s="826"/>
      <x:c r="S79" s="826"/>
      <x:c r="T79" s="826"/>
      <x:c r="U79" s="826"/>
      <x:c r="V79" s="826"/>
      <x:c r="W79" s="826"/>
      <x:c r="X79" s="826"/>
      <x:c r="Y79" s="826"/>
      <x:c r="Z79" s="826"/>
      <x:c r="AA79" s="826"/>
      <x:c r="AB79" s="826"/>
      <x:c r="AC79" s="826"/>
      <x:c r="AD79" s="826"/>
      <x:c r="AE79" s="826"/>
      <x:c r="AF79" s="826"/>
      <x:c r="AG79" s="826"/>
      <x:c r="AH79" s="826"/>
      <x:c r="AI79" s="826"/>
      <x:c r="AJ79" s="826"/>
      <x:c r="AK79" s="826"/>
      <x:c r="AL79" s="826"/>
      <x:c r="AM79" s="826"/>
      <x:c r="AN79" s="826"/>
      <x:c r="AO79" s="826"/>
      <x:c r="AP79" s="826"/>
      <x:c r="AQ79" s="826"/>
      <x:c r="AR79" s="826"/>
      <x:c r="AS79" s="826"/>
      <x:c r="AT79" s="826"/>
      <x:c r="AU79" s="826"/>
      <x:c r="AV79" s="826"/>
      <x:c r="AW79" s="826"/>
      <x:c r="AX79" s="826"/>
      <x:c r="AY79" s="826"/>
      <x:c r="AZ79" s="826"/>
      <x:c r="BA79" s="826"/>
      <x:c r="BB79" s="826"/>
      <x:c r="BC79" s="826"/>
      <x:c r="BD79" s="826"/>
      <x:c r="BE79" s="826"/>
      <x:c r="BF79" s="826"/>
      <x:c r="BG79" s="826"/>
      <x:c r="BH79" s="826"/>
      <x:c r="BI79" s="826"/>
      <x:c r="BJ79" s="826"/>
    </x:row>
    <x:row r="80" ht="42" customHeight="1">
      <x:c r="A80" s="50"/>
      <x:c r="B80" s="820" t="str">
        <x:v>WBS-3.36</x:v>
      </x:c>
      <x:c r="C80" s="821" t="str">
        <x:f>'작업 상세'!C74</x:f>
        <x:v>최종 발표·시연 시나리오 초안 작성</x:v>
      </x:c>
      <x:c r="D80" s="837" t="str">
        <x:v>김태윤</x:v>
      </x:c>
      <x:c r="E80" s="838" t="n">
        <x:v>46343</x:v>
      </x:c>
      <x:c r="F80" s="838" t="n">
        <x:v>46344</x:v>
      </x:c>
      <x:c r="G80" s="824" t="n">
        <x:f>IF(OR(E80="",F80=""),"",IF(F80&lt;E80,"기간 확인",COUNTIFS($I$10:$BJ$10,"&gt;="&amp;E80,$I$10:$BJ$10,"&lt;="&amp;F80)))</x:f>
        <x:v>2</x:v>
      </x:c>
      <x:c r="H80" s="929" t="str">
        <x:f>IF(OR(NOT(ISNUMBER(E80)),NOT(ISNUMBER(F80)),F80&lt;E80),"날짜 확인",IF(TODAY()&lt;E80,"시작 전",IF(TODAY()&lt;=F80,"진행 중","완료")))</x:f>
        <x:v>시작 전</x:v>
      </x:c>
      <x:c r="I80" s="826"/>
      <x:c r="J80" s="826"/>
      <x:c r="K80" s="826"/>
      <x:c r="L80" s="826"/>
      <x:c r="M80" s="826"/>
      <x:c r="N80" s="826"/>
      <x:c r="O80" s="826"/>
      <x:c r="P80" s="826"/>
      <x:c r="Q80" s="826"/>
      <x:c r="R80" s="826"/>
      <x:c r="S80" s="826"/>
      <x:c r="T80" s="826"/>
      <x:c r="U80" s="826"/>
      <x:c r="V80" s="826"/>
      <x:c r="W80" s="826"/>
      <x:c r="X80" s="826"/>
      <x:c r="Y80" s="826"/>
      <x:c r="Z80" s="826"/>
      <x:c r="AA80" s="826"/>
      <x:c r="AB80" s="826"/>
      <x:c r="AC80" s="826"/>
      <x:c r="AD80" s="826"/>
      <x:c r="AE80" s="826"/>
      <x:c r="AF80" s="826"/>
      <x:c r="AG80" s="826"/>
      <x:c r="AH80" s="826"/>
      <x:c r="AI80" s="826"/>
      <x:c r="AJ80" s="826"/>
      <x:c r="AK80" s="826"/>
      <x:c r="AL80" s="826"/>
      <x:c r="AM80" s="826"/>
      <x:c r="AN80" s="826"/>
      <x:c r="AO80" s="826"/>
      <x:c r="AP80" s="826"/>
      <x:c r="AQ80" s="826"/>
      <x:c r="AR80" s="826"/>
      <x:c r="AS80" s="826"/>
      <x:c r="AT80" s="826"/>
      <x:c r="AU80" s="826"/>
      <x:c r="AV80" s="826"/>
      <x:c r="AW80" s="826"/>
      <x:c r="AX80" s="826"/>
      <x:c r="AY80" s="826"/>
      <x:c r="AZ80" s="826"/>
      <x:c r="BA80" s="826"/>
      <x:c r="BB80" s="826"/>
      <x:c r="BC80" s="826"/>
      <x:c r="BD80" s="826"/>
      <x:c r="BE80" s="826"/>
      <x:c r="BF80" s="826"/>
      <x:c r="BG80" s="826"/>
      <x:c r="BH80" s="826"/>
      <x:c r="BI80" s="826"/>
      <x:c r="BJ80" s="826"/>
    </x:row>
    <x:row r="81" ht="42" customHeight="1">
      <x:c r="A81" s="50"/>
      <x:c r="B81" s="820" t="str">
        <x:v>WBS-3.42</x:v>
      </x:c>
      <x:c r="C81" s="821" t="str">
        <x:f>'작업 상세'!C75</x:f>
        <x:v>이번 주 저녁 질문 생성·검증</x:v>
      </x:c>
      <x:c r="D81" s="837" t="str">
        <x:v>최성욱</x:v>
      </x:c>
      <x:c r="E81" s="838" t="n">
        <x:v>46343</x:v>
      </x:c>
      <x:c r="F81" s="838" t="n">
        <x:v>46343</x:v>
      </x:c>
      <x:c r="G81" s="824" t="n">
        <x:f>IF(OR(E81="",F81=""),"",IF(F81&lt;E81,"기간 확인",COUNTIFS($I$10:$BJ$10,"&gt;="&amp;E81,$I$10:$BJ$10,"&lt;="&amp;F81)))</x:f>
        <x:v>1</x:v>
      </x:c>
      <x:c r="H81" s="929" t="str">
        <x:f>IF(OR(NOT(ISNUMBER(E81)),NOT(ISNUMBER(F81)),F81&lt;E81),"날짜 확인",IF(TODAY()&lt;E81,"시작 전",IF(TODAY()&lt;=F81,"진행 중","완료")))</x:f>
        <x:v>시작 전</x:v>
      </x:c>
      <x:c r="I81" s="826"/>
      <x:c r="J81" s="826"/>
      <x:c r="K81" s="826"/>
      <x:c r="L81" s="826"/>
      <x:c r="M81" s="826"/>
      <x:c r="N81" s="826"/>
      <x:c r="O81" s="826"/>
      <x:c r="P81" s="826"/>
      <x:c r="Q81" s="826"/>
      <x:c r="R81" s="826"/>
      <x:c r="S81" s="826"/>
      <x:c r="T81" s="826"/>
      <x:c r="U81" s="826"/>
      <x:c r="V81" s="826"/>
      <x:c r="W81" s="826"/>
      <x:c r="X81" s="826"/>
      <x:c r="Y81" s="826"/>
      <x:c r="Z81" s="826"/>
      <x:c r="AA81" s="826"/>
      <x:c r="AB81" s="826"/>
      <x:c r="AC81" s="826"/>
      <x:c r="AD81" s="826"/>
      <x:c r="AE81" s="826"/>
      <x:c r="AF81" s="826"/>
      <x:c r="AG81" s="826"/>
      <x:c r="AH81" s="826"/>
      <x:c r="AI81" s="826"/>
      <x:c r="AJ81" s="826"/>
      <x:c r="AK81" s="826"/>
      <x:c r="AL81" s="826"/>
      <x:c r="AM81" s="826"/>
      <x:c r="AN81" s="826"/>
      <x:c r="AO81" s="826"/>
      <x:c r="AP81" s="826"/>
      <x:c r="AQ81" s="826"/>
      <x:c r="AR81" s="826"/>
      <x:c r="AS81" s="826"/>
      <x:c r="AT81" s="826"/>
      <x:c r="AU81" s="826"/>
      <x:c r="AV81" s="826"/>
      <x:c r="AW81" s="826"/>
      <x:c r="AX81" s="826"/>
      <x:c r="AY81" s="826"/>
      <x:c r="AZ81" s="826"/>
      <x:c r="BA81" s="826"/>
      <x:c r="BB81" s="826"/>
      <x:c r="BC81" s="826"/>
      <x:c r="BD81" s="826"/>
      <x:c r="BE81" s="826"/>
      <x:c r="BF81" s="826"/>
      <x:c r="BG81" s="826"/>
      <x:c r="BH81" s="826"/>
      <x:c r="BI81" s="826"/>
      <x:c r="BJ81" s="826"/>
    </x:row>
    <x:row r="82" ht="42" customHeight="1">
      <x:c r="A82" s="50"/>
      <x:c r="B82" s="820" t="str">
        <x:v>WBS-3.32</x:v>
      </x:c>
      <x:c r="C82" s="821" t="str">
        <x:f>'작업 상세'!C76</x:f>
        <x:v>전체 연결 구현·문서 정리</x:v>
      </x:c>
      <x:c r="D82" s="837" t="str">
        <x:v>최인영</x:v>
      </x:c>
      <x:c r="E82" s="838" t="n">
        <x:v>46344</x:v>
      </x:c>
      <x:c r="F82" s="838" t="n">
        <x:v>46344</x:v>
      </x:c>
      <x:c r="G82" s="824" t="n">
        <x:f>IF(OR(E82="",F82=""),"",IF(F82&lt;E82,"기간 확인",COUNTIFS($I$10:$BJ$10,"&gt;="&amp;E82,$I$10:$BJ$10,"&lt;="&amp;F82)))</x:f>
        <x:v>1</x:v>
      </x:c>
      <x:c r="H82" s="929" t="str">
        <x:f>IF(OR(NOT(ISNUMBER(E82)),NOT(ISNUMBER(F82)),F82&lt;E82),"날짜 확인",IF(TODAY()&lt;E82,"시작 전",IF(TODAY()&lt;=F82,"진행 중","완료")))</x:f>
        <x:v>시작 전</x:v>
      </x:c>
      <x:c r="I82" s="826"/>
      <x:c r="J82" s="826"/>
      <x:c r="K82" s="826"/>
      <x:c r="L82" s="826"/>
      <x:c r="M82" s="826"/>
      <x:c r="N82" s="826"/>
      <x:c r="O82" s="826"/>
      <x:c r="P82" s="826"/>
      <x:c r="Q82" s="826"/>
      <x:c r="R82" s="826"/>
      <x:c r="S82" s="826"/>
      <x:c r="T82" s="826"/>
      <x:c r="U82" s="826"/>
      <x:c r="V82" s="826"/>
      <x:c r="W82" s="826"/>
      <x:c r="X82" s="826"/>
      <x:c r="Y82" s="826"/>
      <x:c r="Z82" s="826"/>
      <x:c r="AA82" s="826"/>
      <x:c r="AB82" s="826"/>
      <x:c r="AC82" s="826"/>
      <x:c r="AD82" s="826"/>
      <x:c r="AE82" s="826"/>
      <x:c r="AF82" s="826"/>
      <x:c r="AG82" s="826"/>
      <x:c r="AH82" s="826"/>
      <x:c r="AI82" s="826"/>
      <x:c r="AJ82" s="826"/>
      <x:c r="AK82" s="826"/>
      <x:c r="AL82" s="826"/>
      <x:c r="AM82" s="826"/>
      <x:c r="AN82" s="826"/>
      <x:c r="AO82" s="826"/>
      <x:c r="AP82" s="826"/>
      <x:c r="AQ82" s="826"/>
      <x:c r="AR82" s="826"/>
      <x:c r="AS82" s="826"/>
      <x:c r="AT82" s="826"/>
      <x:c r="AU82" s="826"/>
      <x:c r="AV82" s="826"/>
      <x:c r="AW82" s="826"/>
      <x:c r="AX82" s="826"/>
      <x:c r="AY82" s="826"/>
      <x:c r="AZ82" s="826"/>
      <x:c r="BA82" s="826"/>
      <x:c r="BB82" s="826"/>
      <x:c r="BC82" s="826"/>
      <x:c r="BD82" s="826"/>
      <x:c r="BE82" s="826"/>
      <x:c r="BF82" s="826"/>
      <x:c r="BG82" s="826"/>
      <x:c r="BH82" s="826"/>
      <x:c r="BI82" s="826"/>
      <x:c r="BJ82" s="826"/>
    </x:row>
    <x:row r="83" ht="26" customHeight="1">
      <x:c r="A83" s="50"/>
      <x:c r="B83" s="884" t="str">
        <x:v>WBS-4</x:v>
      </x:c>
      <x:c r="C83" s="885" t="str">
        <x:v>최종 일괄 검증·배포·인계</x:v>
      </x:c>
      <x:c r="D83" s="886" t="str">
        <x:v>김태윤</x:v>
      </x:c>
      <x:c r="E83" s="887" t="n">
        <x:f>MIN(E84:E94)</x:f>
        <x:v>46345</x:v>
      </x:c>
      <x:c r="F83" s="887" t="n">
        <x:f>MAX(F84:F94)</x:f>
        <x:v>46364</x:v>
      </x:c>
      <x:c r="G83" s="888" t="n">
        <x:f>COUNTIFS($I$10:$BJ$10,"&gt;="&amp;E83,$I$10:$BJ$10,"&lt;="&amp;F83)</x:f>
        <x:v>20</x:v>
      </x:c>
      <x:c r="H83" s="928" t="str">
        <x:f>IF(COUNTIFS(H84:H94,"날짜 확인")&gt;0,"날짜 확인",IF(COUNTIFS(H84:H94,"보류")=ROWS(H84:H94),"보류",IF(COUNTIFS(H84:H94,"완료")=ROWS(H84:H94)-COUNTIFS(H84:H94,"보류"),"완료",IF(COUNTIFS(H84:H94,"진행 중")+COUNTIFS(H84:H94,"완료")&gt;0,"진행 중","시작 전"))))</x:f>
        <x:v>시작 전</x:v>
      </x:c>
      <x:c r="I83" s="883"/>
      <x:c r="J83" s="883"/>
      <x:c r="K83" s="883"/>
      <x:c r="L83" s="883"/>
      <x:c r="M83" s="883"/>
      <x:c r="N83" s="883"/>
      <x:c r="O83" s="883"/>
      <x:c r="P83" s="883"/>
      <x:c r="Q83" s="883"/>
      <x:c r="R83" s="883"/>
      <x:c r="S83" s="883"/>
      <x:c r="T83" s="883"/>
      <x:c r="U83" s="883"/>
      <x:c r="V83" s="883"/>
      <x:c r="W83" s="883"/>
      <x:c r="X83" s="883"/>
      <x:c r="Y83" s="883"/>
      <x:c r="Z83" s="883"/>
      <x:c r="AA83" s="883"/>
      <x:c r="AB83" s="883"/>
      <x:c r="AC83" s="883"/>
      <x:c r="AD83" s="883"/>
      <x:c r="AE83" s="883"/>
      <x:c r="AF83" s="883"/>
      <x:c r="AG83" s="883"/>
      <x:c r="AH83" s="883"/>
      <x:c r="AI83" s="883"/>
      <x:c r="AJ83" s="883"/>
      <x:c r="AK83" s="883"/>
      <x:c r="AL83" s="883"/>
      <x:c r="AM83" s="883"/>
      <x:c r="AN83" s="883"/>
      <x:c r="AO83" s="883"/>
      <x:c r="AP83" s="883"/>
      <x:c r="AQ83" s="883"/>
      <x:c r="AR83" s="883"/>
      <x:c r="AS83" s="883"/>
      <x:c r="AT83" s="883"/>
      <x:c r="AU83" s="883"/>
      <x:c r="AV83" s="883"/>
      <x:c r="AW83" s="883"/>
      <x:c r="AX83" s="883"/>
      <x:c r="AY83" s="883"/>
      <x:c r="AZ83" s="883"/>
      <x:c r="BA83" s="883"/>
      <x:c r="BB83" s="883"/>
      <x:c r="BC83" s="883"/>
      <x:c r="BD83" s="883"/>
      <x:c r="BE83" s="883"/>
      <x:c r="BF83" s="883"/>
      <x:c r="BG83" s="883"/>
      <x:c r="BH83" s="883"/>
      <x:c r="BI83" s="883"/>
      <x:c r="BJ83" s="883"/>
    </x:row>
    <x:row r="84" ht="42" customHeight="1">
      <x:c r="A84" s="50"/>
      <x:c r="B84" s="820" t="str">
        <x:v>WBS-4.1</x:v>
      </x:c>
      <x:c r="C84" s="821" t="str">
        <x:f>'작업 상세'!C77</x:f>
        <x:v>필수 자동 검증·정적 검사 일괄 실행</x:v>
      </x:c>
      <x:c r="D84" s="837" t="str">
        <x:v>김태윤</x:v>
      </x:c>
      <x:c r="E84" s="838" t="n">
        <x:v>46345</x:v>
      </x:c>
      <x:c r="F84" s="838" t="n">
        <x:v>46345</x:v>
      </x:c>
      <x:c r="G84" s="824" t="n">
        <x:f>IF(OR(E84="",F84=""),"",IF(F84&lt;E84,"기간 확인",COUNTIFS($I$10:$BJ$10,"&gt;="&amp;E84,$I$10:$BJ$10,"&lt;="&amp;F84)))</x:f>
        <x:v>1</x:v>
      </x:c>
      <x:c r="H84" s="929" t="str">
        <x:f>IF(OR(NOT(ISNUMBER(E84)),NOT(ISNUMBER(F84)),F84&lt;E84),"날짜 확인",IF(TODAY()&lt;E84,"시작 전",IF(TODAY()&lt;=F84,"진행 중","완료")))</x:f>
        <x:v>시작 전</x:v>
      </x:c>
      <x:c r="I84" s="826"/>
      <x:c r="J84" s="826"/>
      <x:c r="K84" s="826"/>
      <x:c r="L84" s="826"/>
      <x:c r="M84" s="826"/>
      <x:c r="N84" s="826"/>
      <x:c r="O84" s="826"/>
      <x:c r="P84" s="826"/>
      <x:c r="Q84" s="826"/>
      <x:c r="R84" s="826"/>
      <x:c r="S84" s="826"/>
      <x:c r="T84" s="826"/>
      <x:c r="U84" s="826"/>
      <x:c r="V84" s="826"/>
      <x:c r="W84" s="826"/>
      <x:c r="X84" s="826"/>
      <x:c r="Y84" s="826"/>
      <x:c r="Z84" s="826"/>
      <x:c r="AA84" s="826"/>
      <x:c r="AB84" s="826"/>
      <x:c r="AC84" s="826"/>
      <x:c r="AD84" s="826"/>
      <x:c r="AE84" s="826"/>
      <x:c r="AF84" s="826"/>
      <x:c r="AG84" s="826"/>
      <x:c r="AH84" s="826"/>
      <x:c r="AI84" s="826"/>
      <x:c r="AJ84" s="826"/>
      <x:c r="AK84" s="826"/>
      <x:c r="AL84" s="826"/>
      <x:c r="AM84" s="826"/>
      <x:c r="AN84" s="826"/>
      <x:c r="AO84" s="826"/>
      <x:c r="AP84" s="826"/>
      <x:c r="AQ84" s="826"/>
      <x:c r="AR84" s="826"/>
      <x:c r="AS84" s="826"/>
      <x:c r="AT84" s="826"/>
      <x:c r="AU84" s="826"/>
      <x:c r="AV84" s="826"/>
      <x:c r="AW84" s="826"/>
      <x:c r="AX84" s="826"/>
      <x:c r="AY84" s="826"/>
      <x:c r="AZ84" s="826"/>
      <x:c r="BA84" s="826"/>
      <x:c r="BB84" s="826"/>
      <x:c r="BC84" s="826"/>
      <x:c r="BD84" s="826"/>
      <x:c r="BE84" s="826"/>
      <x:c r="BF84" s="826"/>
      <x:c r="BG84" s="826"/>
      <x:c r="BH84" s="826"/>
      <x:c r="BI84" s="826"/>
      <x:c r="BJ84" s="826"/>
    </x:row>
    <x:row r="85" ht="42" customHeight="1">
      <x:c r="A85" s="50"/>
      <x:c r="B85" s="820" t="str">
        <x:v>WBS-4.2</x:v>
      </x:c>
      <x:c r="C85" s="821" t="str">
        <x:f>'작업 상세'!C78</x:f>
        <x:v>모델 품질·독립 사람 평가</x:v>
      </x:c>
      <x:c r="D85" s="837" t="str">
        <x:v>김재현</x:v>
      </x:c>
      <x:c r="E85" s="838" t="n">
        <x:v>46346</x:v>
      </x:c>
      <x:c r="F85" s="838" t="n">
        <x:v>46347</x:v>
      </x:c>
      <x:c r="G85" s="824" t="n">
        <x:f>IF(OR(E85="",F85=""),"",IF(F85&lt;E85,"기간 확인",COUNTIFS($I$10:$BJ$10,"&gt;="&amp;E85,$I$10:$BJ$10,"&lt;="&amp;F85)))</x:f>
        <x:v>2</x:v>
      </x:c>
      <x:c r="H85" s="929" t="str">
        <x:f>IF(OR(NOT(ISNUMBER(E85)),NOT(ISNUMBER(F85)),F85&lt;E85),"날짜 확인",IF(TODAY()&lt;E85,"시작 전",IF(TODAY()&lt;=F85,"진행 중","완료")))</x:f>
        <x:v>시작 전</x:v>
      </x:c>
      <x:c r="I85" s="826"/>
      <x:c r="J85" s="826"/>
      <x:c r="K85" s="826"/>
      <x:c r="L85" s="826"/>
      <x:c r="M85" s="826"/>
      <x:c r="N85" s="826"/>
      <x:c r="O85" s="826"/>
      <x:c r="P85" s="826"/>
      <x:c r="Q85" s="826"/>
      <x:c r="R85" s="826"/>
      <x:c r="S85" s="826"/>
      <x:c r="T85" s="826"/>
      <x:c r="U85" s="826"/>
      <x:c r="V85" s="826"/>
      <x:c r="W85" s="826"/>
      <x:c r="X85" s="826"/>
      <x:c r="Y85" s="826"/>
      <x:c r="Z85" s="826"/>
      <x:c r="AA85" s="826"/>
      <x:c r="AB85" s="826"/>
      <x:c r="AC85" s="826"/>
      <x:c r="AD85" s="826"/>
      <x:c r="AE85" s="826"/>
      <x:c r="AF85" s="826"/>
      <x:c r="AG85" s="826"/>
      <x:c r="AH85" s="826"/>
      <x:c r="AI85" s="826"/>
      <x:c r="AJ85" s="826"/>
      <x:c r="AK85" s="826"/>
      <x:c r="AL85" s="826"/>
      <x:c r="AM85" s="826"/>
      <x:c r="AN85" s="826"/>
      <x:c r="AO85" s="826"/>
      <x:c r="AP85" s="826"/>
      <x:c r="AQ85" s="826"/>
      <x:c r="AR85" s="826"/>
      <x:c r="AS85" s="826"/>
      <x:c r="AT85" s="826"/>
      <x:c r="AU85" s="826"/>
      <x:c r="AV85" s="826"/>
      <x:c r="AW85" s="826"/>
      <x:c r="AX85" s="826"/>
      <x:c r="AY85" s="826"/>
      <x:c r="AZ85" s="826"/>
      <x:c r="BA85" s="826"/>
      <x:c r="BB85" s="826"/>
      <x:c r="BC85" s="826"/>
      <x:c r="BD85" s="826"/>
      <x:c r="BE85" s="826"/>
      <x:c r="BF85" s="826"/>
      <x:c r="BG85" s="826"/>
      <x:c r="BH85" s="826"/>
      <x:c r="BI85" s="826"/>
      <x:c r="BJ85" s="826"/>
    </x:row>
    <x:row r="86" ht="42" customHeight="1">
      <x:c r="A86" s="50"/>
      <x:c r="B86" s="820" t="str">
        <x:v>WBS-4.12</x:v>
      </x:c>
      <x:c r="C86" s="821" t="str">
        <x:f>'작업 상세'!C79</x:f>
        <x:v>35미션 시범 풀이·저학년 집계 검증</x:v>
      </x:c>
      <x:c r="D86" s="837" t="str">
        <x:v>김동섭</x:v>
      </x:c>
      <x:c r="E86" s="838" t="n">
        <x:v>46346</x:v>
      </x:c>
      <x:c r="F86" s="838" t="n">
        <x:v>46347</x:v>
      </x:c>
      <x:c r="G86" s="824" t="n">
        <x:f>IF(OR(E86="",F86=""),"",IF(F86&lt;E86,"기간 확인",COUNTIFS($I$10:$BJ$10,"&gt;="&amp;E86,$I$10:$BJ$10,"&lt;="&amp;F86)))</x:f>
        <x:v>2</x:v>
      </x:c>
      <x:c r="H86" s="929" t="str">
        <x:f>IF(OR(NOT(ISNUMBER(E86)),NOT(ISNUMBER(F86)),F86&lt;E86),"날짜 확인",IF(TODAY()&lt;E86,"시작 전",IF(TODAY()&lt;=F86,"진행 중","완료")))</x:f>
        <x:v>시작 전</x:v>
      </x:c>
      <x:c r="I86" s="826"/>
      <x:c r="J86" s="826"/>
      <x:c r="K86" s="826"/>
      <x:c r="L86" s="826"/>
      <x:c r="M86" s="826"/>
      <x:c r="N86" s="826"/>
      <x:c r="O86" s="826"/>
      <x:c r="P86" s="826"/>
      <x:c r="Q86" s="826"/>
      <x:c r="R86" s="826"/>
      <x:c r="S86" s="826"/>
      <x:c r="T86" s="826"/>
      <x:c r="U86" s="826"/>
      <x:c r="V86" s="826"/>
      <x:c r="W86" s="826"/>
      <x:c r="X86" s="826"/>
      <x:c r="Y86" s="826"/>
      <x:c r="Z86" s="826"/>
      <x:c r="AA86" s="826"/>
      <x:c r="AB86" s="826"/>
      <x:c r="AC86" s="826"/>
      <x:c r="AD86" s="826"/>
      <x:c r="AE86" s="826"/>
      <x:c r="AF86" s="826"/>
      <x:c r="AG86" s="826"/>
      <x:c r="AH86" s="826"/>
      <x:c r="AI86" s="826"/>
      <x:c r="AJ86" s="826"/>
      <x:c r="AK86" s="826"/>
      <x:c r="AL86" s="826"/>
      <x:c r="AM86" s="826"/>
      <x:c r="AN86" s="826"/>
      <x:c r="AO86" s="826"/>
      <x:c r="AP86" s="826"/>
      <x:c r="AQ86" s="826"/>
      <x:c r="AR86" s="826"/>
      <x:c r="AS86" s="826"/>
      <x:c r="AT86" s="826"/>
      <x:c r="AU86" s="826"/>
      <x:c r="AV86" s="826"/>
      <x:c r="AW86" s="826"/>
      <x:c r="AX86" s="826"/>
      <x:c r="AY86" s="826"/>
      <x:c r="AZ86" s="826"/>
      <x:c r="BA86" s="826"/>
      <x:c r="BB86" s="826"/>
      <x:c r="BC86" s="826"/>
      <x:c r="BD86" s="826"/>
      <x:c r="BE86" s="826"/>
      <x:c r="BF86" s="826"/>
      <x:c r="BG86" s="826"/>
      <x:c r="BH86" s="826"/>
      <x:c r="BI86" s="826"/>
      <x:c r="BJ86" s="826"/>
    </x:row>
    <x:row r="87" ht="42" customHeight="1">
      <x:c r="A87" s="50"/>
      <x:c r="B87" s="820" t="str">
        <x:v>WBS-4.3</x:v>
      </x:c>
      <x:c r="C87" s="821" t="str">
        <x:f>'작업 상세'!C80</x:f>
        <x:v>학생·학부모·관리자 연결 검증</x:v>
      </x:c>
      <x:c r="D87" s="837" t="str">
        <x:v>김태윤</x:v>
      </x:c>
      <x:c r="E87" s="838" t="n">
        <x:v>46348</x:v>
      </x:c>
      <x:c r="F87" s="838" t="n">
        <x:v>46349</x:v>
      </x:c>
      <x:c r="G87" s="824" t="n">
        <x:f>IF(OR(E87="",F87=""),"",IF(F87&lt;E87,"기간 확인",COUNTIFS($I$10:$BJ$10,"&gt;="&amp;E87,$I$10:$BJ$10,"&lt;="&amp;F87)))</x:f>
        <x:v>2</x:v>
      </x:c>
      <x:c r="H87" s="929" t="str">
        <x:f>IF(OR(NOT(ISNUMBER(E87)),NOT(ISNUMBER(F87)),F87&lt;E87),"날짜 확인",IF(TODAY()&lt;E87,"시작 전",IF(TODAY()&lt;=F87,"진행 중","완료")))</x:f>
        <x:v>시작 전</x:v>
      </x:c>
      <x:c r="I87" s="826"/>
      <x:c r="J87" s="826"/>
      <x:c r="K87" s="826"/>
      <x:c r="L87" s="826"/>
      <x:c r="M87" s="826"/>
      <x:c r="N87" s="826"/>
      <x:c r="O87" s="826"/>
      <x:c r="P87" s="826"/>
      <x:c r="Q87" s="826"/>
      <x:c r="R87" s="826"/>
      <x:c r="S87" s="826"/>
      <x:c r="T87" s="826"/>
      <x:c r="U87" s="826"/>
      <x:c r="V87" s="826"/>
      <x:c r="W87" s="826"/>
      <x:c r="X87" s="826"/>
      <x:c r="Y87" s="826"/>
      <x:c r="Z87" s="826"/>
      <x:c r="AA87" s="826"/>
      <x:c r="AB87" s="826"/>
      <x:c r="AC87" s="826"/>
      <x:c r="AD87" s="826"/>
      <x:c r="AE87" s="826"/>
      <x:c r="AF87" s="826"/>
      <x:c r="AG87" s="826"/>
      <x:c r="AH87" s="826"/>
      <x:c r="AI87" s="826"/>
      <x:c r="AJ87" s="826"/>
      <x:c r="AK87" s="826"/>
      <x:c r="AL87" s="826"/>
      <x:c r="AM87" s="826"/>
      <x:c r="AN87" s="826"/>
      <x:c r="AO87" s="826"/>
      <x:c r="AP87" s="826"/>
      <x:c r="AQ87" s="826"/>
      <x:c r="AR87" s="826"/>
      <x:c r="AS87" s="826"/>
      <x:c r="AT87" s="826"/>
      <x:c r="AU87" s="826"/>
      <x:c r="AV87" s="826"/>
      <x:c r="AW87" s="826"/>
      <x:c r="AX87" s="826"/>
      <x:c r="AY87" s="826"/>
      <x:c r="AZ87" s="826"/>
      <x:c r="BA87" s="826"/>
      <x:c r="BB87" s="826"/>
      <x:c r="BC87" s="826"/>
      <x:c r="BD87" s="826"/>
      <x:c r="BE87" s="826"/>
      <x:c r="BF87" s="826"/>
      <x:c r="BG87" s="826"/>
      <x:c r="BH87" s="826"/>
      <x:c r="BI87" s="826"/>
      <x:c r="BJ87" s="826"/>
    </x:row>
    <x:row r="88" ht="42" customHeight="1">
      <x:c r="A88" s="50"/>
      <x:c r="B88" s="820" t="str">
        <x:v>WBS-4.5</x:v>
      </x:c>
      <x:c r="C88" s="821" t="str">
        <x:f>'작업 상세'!C81</x:f>
        <x:v>보안·장애·복구·지연 확인</x:v>
      </x:c>
      <x:c r="D88" s="837" t="str">
        <x:v>김동섭</x:v>
      </x:c>
      <x:c r="E88" s="838" t="n">
        <x:v>46350</x:v>
      </x:c>
      <x:c r="F88" s="838" t="n">
        <x:v>46351</x:v>
      </x:c>
      <x:c r="G88" s="824" t="n">
        <x:f>IF(OR(E88="",F88=""),"",IF(F88&lt;E88,"기간 확인",COUNTIFS($I$10:$BJ$10,"&gt;="&amp;E88,$I$10:$BJ$10,"&lt;="&amp;F88)))</x:f>
        <x:v>2</x:v>
      </x:c>
      <x:c r="H88" s="929" t="str">
        <x:f>IF(OR(NOT(ISNUMBER(E88)),NOT(ISNUMBER(F88)),F88&lt;E88),"날짜 확인",IF(TODAY()&lt;E88,"시작 전",IF(TODAY()&lt;=F88,"진행 중","완료")))</x:f>
        <x:v>시작 전</x:v>
      </x:c>
      <x:c r="I88" s="826"/>
      <x:c r="J88" s="826"/>
      <x:c r="K88" s="826"/>
      <x:c r="L88" s="826"/>
      <x:c r="M88" s="826"/>
      <x:c r="N88" s="826"/>
      <x:c r="O88" s="826"/>
      <x:c r="P88" s="826"/>
      <x:c r="Q88" s="826"/>
      <x:c r="R88" s="826"/>
      <x:c r="S88" s="826"/>
      <x:c r="T88" s="826"/>
      <x:c r="U88" s="826"/>
      <x:c r="V88" s="826"/>
      <x:c r="W88" s="826"/>
      <x:c r="X88" s="826"/>
      <x:c r="Y88" s="826"/>
      <x:c r="Z88" s="826"/>
      <x:c r="AA88" s="826"/>
      <x:c r="AB88" s="826"/>
      <x:c r="AC88" s="826"/>
      <x:c r="AD88" s="826"/>
      <x:c r="AE88" s="826"/>
      <x:c r="AF88" s="826"/>
      <x:c r="AG88" s="826"/>
      <x:c r="AH88" s="826"/>
      <x:c r="AI88" s="826"/>
      <x:c r="AJ88" s="826"/>
      <x:c r="AK88" s="826"/>
      <x:c r="AL88" s="826"/>
      <x:c r="AM88" s="826"/>
      <x:c r="AN88" s="826"/>
      <x:c r="AO88" s="826"/>
      <x:c r="AP88" s="826"/>
      <x:c r="AQ88" s="826"/>
      <x:c r="AR88" s="826"/>
      <x:c r="AS88" s="826"/>
      <x:c r="AT88" s="826"/>
      <x:c r="AU88" s="826"/>
      <x:c r="AV88" s="826"/>
      <x:c r="AW88" s="826"/>
      <x:c r="AX88" s="826"/>
      <x:c r="AY88" s="826"/>
      <x:c r="AZ88" s="826"/>
      <x:c r="BA88" s="826"/>
      <x:c r="BB88" s="826"/>
      <x:c r="BC88" s="826"/>
      <x:c r="BD88" s="826"/>
      <x:c r="BE88" s="826"/>
      <x:c r="BF88" s="826"/>
      <x:c r="BG88" s="826"/>
      <x:c r="BH88" s="826"/>
      <x:c r="BI88" s="826"/>
      <x:c r="BJ88" s="826"/>
    </x:row>
    <x:row r="89" ht="42" customHeight="1">
      <x:c r="A89" s="50"/>
      <x:c r="B89" s="820" t="str">
        <x:v>WBS-4.11</x:v>
      </x:c>
      <x:c r="C89" s="821" t="str">
        <x:f>'작업 상세'!C82</x:f>
        <x:v>에이전트 연동·근거·종료 조건 검증</x:v>
      </x:c>
      <x:c r="D89" s="837" t="str">
        <x:v>최성욱</x:v>
      </x:c>
      <x:c r="E89" s="838" t="n">
        <x:v>46350</x:v>
      </x:c>
      <x:c r="F89" s="838" t="n">
        <x:v>46351</x:v>
      </x:c>
      <x:c r="G89" s="824" t="n">
        <x:f>IF(OR(E89="",F89=""),"",IF(F89&lt;E89,"기간 확인",COUNTIFS($I$10:$BJ$10,"&gt;="&amp;E89,$I$10:$BJ$10,"&lt;="&amp;F89)))</x:f>
        <x:v>2</x:v>
      </x:c>
      <x:c r="H89" s="929" t="str">
        <x:f>IF(OR(NOT(ISNUMBER(E89)),NOT(ISNUMBER(F89)),F89&lt;E89),"날짜 확인",IF(TODAY()&lt;E89,"시작 전",IF(TODAY()&lt;=F89,"진행 중","완료")))</x:f>
        <x:v>시작 전</x:v>
      </x:c>
      <x:c r="I89" s="826"/>
      <x:c r="J89" s="826"/>
      <x:c r="K89" s="826"/>
      <x:c r="L89" s="826"/>
      <x:c r="M89" s="826"/>
      <x:c r="N89" s="826"/>
      <x:c r="O89" s="826"/>
      <x:c r="P89" s="826"/>
      <x:c r="Q89" s="826"/>
      <x:c r="R89" s="826"/>
      <x:c r="S89" s="826"/>
      <x:c r="T89" s="826"/>
      <x:c r="U89" s="826"/>
      <x:c r="V89" s="826"/>
      <x:c r="W89" s="826"/>
      <x:c r="X89" s="826"/>
      <x:c r="Y89" s="826"/>
      <x:c r="Z89" s="826"/>
      <x:c r="AA89" s="826"/>
      <x:c r="AB89" s="826"/>
      <x:c r="AC89" s="826"/>
      <x:c r="AD89" s="826"/>
      <x:c r="AE89" s="826"/>
      <x:c r="AF89" s="826"/>
      <x:c r="AG89" s="826"/>
      <x:c r="AH89" s="826"/>
      <x:c r="AI89" s="826"/>
      <x:c r="AJ89" s="826"/>
      <x:c r="AK89" s="826"/>
      <x:c r="AL89" s="826"/>
      <x:c r="AM89" s="826"/>
      <x:c r="AN89" s="826"/>
      <x:c r="AO89" s="826"/>
      <x:c r="AP89" s="826"/>
      <x:c r="AQ89" s="826"/>
      <x:c r="AR89" s="826"/>
      <x:c r="AS89" s="826"/>
      <x:c r="AT89" s="826"/>
      <x:c r="AU89" s="826"/>
      <x:c r="AV89" s="826"/>
      <x:c r="AW89" s="826"/>
      <x:c r="AX89" s="826"/>
      <x:c r="AY89" s="826"/>
      <x:c r="AZ89" s="826"/>
      <x:c r="BA89" s="826"/>
      <x:c r="BB89" s="826"/>
      <x:c r="BC89" s="826"/>
      <x:c r="BD89" s="826"/>
      <x:c r="BE89" s="826"/>
      <x:c r="BF89" s="826"/>
      <x:c r="BG89" s="826"/>
      <x:c r="BH89" s="826"/>
      <x:c r="BI89" s="826"/>
      <x:c r="BJ89" s="826"/>
    </x:row>
    <x:row r="90" ht="42" customHeight="1">
      <x:c r="A90" s="50"/>
      <x:c r="B90" s="820" t="str">
        <x:v>WBS-4.6</x:v>
      </x:c>
      <x:c r="C90" s="821" t="str">
        <x:f>'작업 상세'!C83</x:f>
        <x:v>실패 수정·영향 범위 재검증</x:v>
      </x:c>
      <x:c r="D90" s="837" t="str">
        <x:v>김태윤</x:v>
      </x:c>
      <x:c r="E90" s="838" t="n">
        <x:v>46352</x:v>
      </x:c>
      <x:c r="F90" s="838" t="n">
        <x:v>46359</x:v>
      </x:c>
      <x:c r="G90" s="824" t="n">
        <x:f>IF(OR(E90="",F90=""),"",IF(F90&lt;E90,"기간 확인",COUNTIFS($I$10:$BJ$10,"&gt;="&amp;E90,$I$10:$BJ$10,"&lt;="&amp;F90)))</x:f>
        <x:v>8</x:v>
      </x:c>
      <x:c r="H90" s="929" t="str">
        <x:f>IF(OR(NOT(ISNUMBER(E90)),NOT(ISNUMBER(F90)),F90&lt;E90),"날짜 확인",IF(TODAY()&lt;E90,"시작 전",IF(TODAY()&lt;=F90,"진행 중","완료")))</x:f>
        <x:v>시작 전</x:v>
      </x:c>
      <x:c r="I90" s="826"/>
      <x:c r="J90" s="826"/>
      <x:c r="K90" s="826"/>
      <x:c r="L90" s="826"/>
      <x:c r="M90" s="826"/>
      <x:c r="N90" s="826"/>
      <x:c r="O90" s="826"/>
      <x:c r="P90" s="826"/>
      <x:c r="Q90" s="826"/>
      <x:c r="R90" s="826"/>
      <x:c r="S90" s="826"/>
      <x:c r="T90" s="826"/>
      <x:c r="U90" s="826"/>
      <x:c r="V90" s="826"/>
      <x:c r="W90" s="826"/>
      <x:c r="X90" s="826"/>
      <x:c r="Y90" s="826"/>
      <x:c r="Z90" s="826"/>
      <x:c r="AA90" s="826"/>
      <x:c r="AB90" s="826"/>
      <x:c r="AC90" s="826"/>
      <x:c r="AD90" s="826"/>
      <x:c r="AE90" s="826"/>
      <x:c r="AF90" s="826"/>
      <x:c r="AG90" s="826"/>
      <x:c r="AH90" s="826"/>
      <x:c r="AI90" s="826"/>
      <x:c r="AJ90" s="826"/>
      <x:c r="AK90" s="826"/>
      <x:c r="AL90" s="826"/>
      <x:c r="AM90" s="826"/>
      <x:c r="AN90" s="826"/>
      <x:c r="AO90" s="826"/>
      <x:c r="AP90" s="826"/>
      <x:c r="AQ90" s="826"/>
      <x:c r="AR90" s="826"/>
      <x:c r="AS90" s="826"/>
      <x:c r="AT90" s="826"/>
      <x:c r="AU90" s="826"/>
      <x:c r="AV90" s="826"/>
      <x:c r="AW90" s="826"/>
      <x:c r="AX90" s="826"/>
      <x:c r="AY90" s="826"/>
      <x:c r="AZ90" s="826"/>
      <x:c r="BA90" s="826"/>
      <x:c r="BB90" s="826"/>
      <x:c r="BC90" s="826"/>
      <x:c r="BD90" s="826"/>
      <x:c r="BE90" s="826"/>
      <x:c r="BF90" s="826"/>
      <x:c r="BG90" s="826"/>
      <x:c r="BH90" s="826"/>
      <x:c r="BI90" s="826"/>
      <x:c r="BJ90" s="826"/>
    </x:row>
    <x:row r="91" ht="42" customHeight="1">
      <x:c r="A91" s="50"/>
      <x:c r="B91" s="820" t="str">
        <x:v>WBS-4.7</x:v>
      </x:c>
      <x:c r="C91" s="821" t="str">
        <x:f>'작업 상세'!C84</x:f>
        <x:v>범위·모델·배포 승인 판단</x:v>
      </x:c>
      <x:c r="D91" s="837" t="str">
        <x:v>김태윤</x:v>
      </x:c>
      <x:c r="E91" s="838" t="n">
        <x:v>46360</x:v>
      </x:c>
      <x:c r="F91" s="838" t="n">
        <x:v>46360</x:v>
      </x:c>
      <x:c r="G91" s="824" t="n">
        <x:f>IF(OR(E91="",F91=""),"",IF(F91&lt;E91,"기간 확인",COUNTIFS($I$10:$BJ$10,"&gt;="&amp;E91,$I$10:$BJ$10,"&lt;="&amp;F91)))</x:f>
        <x:v>1</x:v>
      </x:c>
      <x:c r="H91" s="929" t="str">
        <x:f>IF(OR(NOT(ISNUMBER(E91)),NOT(ISNUMBER(F91)),F91&lt;E91),"날짜 확인",IF(TODAY()&lt;E91,"시작 전",IF(TODAY()&lt;=F91,"진행 중","완료")))</x:f>
        <x:v>시작 전</x:v>
      </x:c>
      <x:c r="I91" s="826"/>
      <x:c r="J91" s="826"/>
      <x:c r="K91" s="826"/>
      <x:c r="L91" s="826"/>
      <x:c r="M91" s="826"/>
      <x:c r="N91" s="826"/>
      <x:c r="O91" s="826"/>
      <x:c r="P91" s="826"/>
      <x:c r="Q91" s="826"/>
      <x:c r="R91" s="826"/>
      <x:c r="S91" s="826"/>
      <x:c r="T91" s="826"/>
      <x:c r="U91" s="826"/>
      <x:c r="V91" s="826"/>
      <x:c r="W91" s="826"/>
      <x:c r="X91" s="826"/>
      <x:c r="Y91" s="826"/>
      <x:c r="Z91" s="826"/>
      <x:c r="AA91" s="826"/>
      <x:c r="AB91" s="826"/>
      <x:c r="AC91" s="826"/>
      <x:c r="AD91" s="826"/>
      <x:c r="AE91" s="826"/>
      <x:c r="AF91" s="826"/>
      <x:c r="AG91" s="826"/>
      <x:c r="AH91" s="826"/>
      <x:c r="AI91" s="826"/>
      <x:c r="AJ91" s="826"/>
      <x:c r="AK91" s="826"/>
      <x:c r="AL91" s="826"/>
      <x:c r="AM91" s="826"/>
      <x:c r="AN91" s="826"/>
      <x:c r="AO91" s="826"/>
      <x:c r="AP91" s="826"/>
      <x:c r="AQ91" s="826"/>
      <x:c r="AR91" s="826"/>
      <x:c r="AS91" s="826"/>
      <x:c r="AT91" s="826"/>
      <x:c r="AU91" s="826"/>
      <x:c r="AV91" s="826"/>
      <x:c r="AW91" s="826"/>
      <x:c r="AX91" s="826"/>
      <x:c r="AY91" s="826"/>
      <x:c r="AZ91" s="826"/>
      <x:c r="BA91" s="826"/>
      <x:c r="BB91" s="826"/>
      <x:c r="BC91" s="826"/>
      <x:c r="BD91" s="826"/>
      <x:c r="BE91" s="826"/>
      <x:c r="BF91" s="826"/>
      <x:c r="BG91" s="826"/>
      <x:c r="BH91" s="826"/>
      <x:c r="BI91" s="826"/>
      <x:c r="BJ91" s="826"/>
    </x:row>
    <x:row r="92" ht="42" customHeight="1">
      <x:c r="A92" s="50"/>
      <x:c r="B92" s="820" t="str">
        <x:v>WBS-4.8</x:v>
      </x:c>
      <x:c r="C92" s="821" t="str">
        <x:f>'작업 상세'!C85</x:f>
        <x:v>승인 버전 배포·시연 계정 준비</x:v>
      </x:c>
      <x:c r="D92" s="837" t="str">
        <x:v>김동섭</x:v>
      </x:c>
      <x:c r="E92" s="838" t="n">
        <x:v>46361</x:v>
      </x:c>
      <x:c r="F92" s="838" t="n">
        <x:v>46361</x:v>
      </x:c>
      <x:c r="G92" s="824" t="n">
        <x:f>IF(OR(E92="",F92=""),"",IF(F92&lt;E92,"기간 확인",COUNTIFS($I$10:$BJ$10,"&gt;="&amp;E92,$I$10:$BJ$10,"&lt;="&amp;F92)))</x:f>
        <x:v>1</x:v>
      </x:c>
      <x:c r="H92" s="929" t="str">
        <x:f>IF(OR(NOT(ISNUMBER(E92)),NOT(ISNUMBER(F92)),F92&lt;E92),"날짜 확인",IF(TODAY()&lt;E92,"시작 전",IF(TODAY()&lt;=F92,"진행 중","완료")))</x:f>
        <x:v>시작 전</x:v>
      </x:c>
      <x:c r="I92" s="826"/>
      <x:c r="J92" s="826"/>
      <x:c r="K92" s="826"/>
      <x:c r="L92" s="826"/>
      <x:c r="M92" s="826"/>
      <x:c r="N92" s="826"/>
      <x:c r="O92" s="826"/>
      <x:c r="P92" s="826"/>
      <x:c r="Q92" s="826"/>
      <x:c r="R92" s="826"/>
      <x:c r="S92" s="826"/>
      <x:c r="T92" s="826"/>
      <x:c r="U92" s="826"/>
      <x:c r="V92" s="826"/>
      <x:c r="W92" s="826"/>
      <x:c r="X92" s="826"/>
      <x:c r="Y92" s="826"/>
      <x:c r="Z92" s="826"/>
      <x:c r="AA92" s="826"/>
      <x:c r="AB92" s="826"/>
      <x:c r="AC92" s="826"/>
      <x:c r="AD92" s="826"/>
      <x:c r="AE92" s="826"/>
      <x:c r="AF92" s="826"/>
      <x:c r="AG92" s="826"/>
      <x:c r="AH92" s="826"/>
      <x:c r="AI92" s="826"/>
      <x:c r="AJ92" s="826"/>
      <x:c r="AK92" s="826"/>
      <x:c r="AL92" s="826"/>
      <x:c r="AM92" s="826"/>
      <x:c r="AN92" s="826"/>
      <x:c r="AO92" s="826"/>
      <x:c r="AP92" s="826"/>
      <x:c r="AQ92" s="826"/>
      <x:c r="AR92" s="826"/>
      <x:c r="AS92" s="826"/>
      <x:c r="AT92" s="826"/>
      <x:c r="AU92" s="826"/>
      <x:c r="AV92" s="826"/>
      <x:c r="AW92" s="826"/>
      <x:c r="AX92" s="826"/>
      <x:c r="AY92" s="826"/>
      <x:c r="AZ92" s="826"/>
      <x:c r="BA92" s="826"/>
      <x:c r="BB92" s="826"/>
      <x:c r="BC92" s="826"/>
      <x:c r="BD92" s="826"/>
      <x:c r="BE92" s="826"/>
      <x:c r="BF92" s="826"/>
      <x:c r="BG92" s="826"/>
      <x:c r="BH92" s="826"/>
      <x:c r="BI92" s="826"/>
      <x:c r="BJ92" s="826"/>
    </x:row>
    <x:row r="93" ht="42" customHeight="1">
      <x:c r="A93" s="50"/>
      <x:c r="B93" s="820" t="str">
        <x:v>WBS-4.9</x:v>
      </x:c>
      <x:c r="C93" s="821" t="str">
        <x:f>'작업 상세'!C86</x:f>
        <x:v>배포 환경의 실제 경로 확인</x:v>
      </x:c>
      <x:c r="D93" s="837" t="str">
        <x:v>김태윤</x:v>
      </x:c>
      <x:c r="E93" s="838" t="n">
        <x:v>46362</x:v>
      </x:c>
      <x:c r="F93" s="838" t="n">
        <x:v>46362</x:v>
      </x:c>
      <x:c r="G93" s="824" t="n">
        <x:f>IF(OR(E93="",F93=""),"",IF(F93&lt;E93,"기간 확인",COUNTIFS($I$10:$BJ$10,"&gt;="&amp;E93,$I$10:$BJ$10,"&lt;="&amp;F93)))</x:f>
        <x:v>1</x:v>
      </x:c>
      <x:c r="H93" s="929" t="str">
        <x:f>IF(OR(NOT(ISNUMBER(E93)),NOT(ISNUMBER(F93)),F93&lt;E93),"날짜 확인",IF(TODAY()&lt;E93,"시작 전",IF(TODAY()&lt;=F93,"진행 중","완료")))</x:f>
        <x:v>시작 전</x:v>
      </x:c>
      <x:c r="I93" s="826"/>
      <x:c r="J93" s="826"/>
      <x:c r="K93" s="826"/>
      <x:c r="L93" s="826"/>
      <x:c r="M93" s="826"/>
      <x:c r="N93" s="826"/>
      <x:c r="O93" s="826"/>
      <x:c r="P93" s="826"/>
      <x:c r="Q93" s="826"/>
      <x:c r="R93" s="826"/>
      <x:c r="S93" s="826"/>
      <x:c r="T93" s="826"/>
      <x:c r="U93" s="826"/>
      <x:c r="V93" s="826"/>
      <x:c r="W93" s="826"/>
      <x:c r="X93" s="826"/>
      <x:c r="Y93" s="826"/>
      <x:c r="Z93" s="826"/>
      <x:c r="AA93" s="826"/>
      <x:c r="AB93" s="826"/>
      <x:c r="AC93" s="826"/>
      <x:c r="AD93" s="826"/>
      <x:c r="AE93" s="826"/>
      <x:c r="AF93" s="826"/>
      <x:c r="AG93" s="826"/>
      <x:c r="AH93" s="826"/>
      <x:c r="AI93" s="826"/>
      <x:c r="AJ93" s="826"/>
      <x:c r="AK93" s="826"/>
      <x:c r="AL93" s="826"/>
      <x:c r="AM93" s="826"/>
      <x:c r="AN93" s="826"/>
      <x:c r="AO93" s="826"/>
      <x:c r="AP93" s="826"/>
      <x:c r="AQ93" s="826"/>
      <x:c r="AR93" s="826"/>
      <x:c r="AS93" s="826"/>
      <x:c r="AT93" s="826"/>
      <x:c r="AU93" s="826"/>
      <x:c r="AV93" s="826"/>
      <x:c r="AW93" s="826"/>
      <x:c r="AX93" s="826"/>
      <x:c r="AY93" s="826"/>
      <x:c r="AZ93" s="826"/>
      <x:c r="BA93" s="826"/>
      <x:c r="BB93" s="826"/>
      <x:c r="BC93" s="826"/>
      <x:c r="BD93" s="826"/>
      <x:c r="BE93" s="826"/>
      <x:c r="BF93" s="826"/>
      <x:c r="BG93" s="826"/>
      <x:c r="BH93" s="826"/>
      <x:c r="BI93" s="826"/>
      <x:c r="BJ93" s="826"/>
    </x:row>
    <x:row r="94" ht="42" customHeight="1">
      <x:c r="A94" s="50"/>
      <x:c r="B94" s="820" t="str">
        <x:v>WBS-4.10</x:v>
      </x:c>
      <x:c r="C94" s="821" t="str">
        <x:f>'작업 상세'!C87</x:f>
        <x:v>최종 산출물·미완료 항목 인계</x:v>
      </x:c>
      <x:c r="D94" s="837" t="str">
        <x:v>김태윤</x:v>
      </x:c>
      <x:c r="E94" s="838" t="n">
        <x:v>46364</x:v>
      </x:c>
      <x:c r="F94" s="838" t="n">
        <x:v>46364</x:v>
      </x:c>
      <x:c r="G94" s="824" t="n">
        <x:f>IF(OR(E94="",F94=""),"",IF(F94&lt;E94,"기간 확인",COUNTIFS($I$10:$BJ$10,"&gt;="&amp;E94,$I$10:$BJ$10,"&lt;="&amp;F94)))</x:f>
        <x:v>1</x:v>
      </x:c>
      <x:c r="H94" s="929" t="str">
        <x:f>IF(OR(NOT(ISNUMBER(E94)),NOT(ISNUMBER(F94)),F94&lt;E94),"날짜 확인",IF(TODAY()&lt;E94,"시작 전",IF(TODAY()&lt;=F94,"진행 중","완료")))</x:f>
        <x:v>시작 전</x:v>
      </x:c>
      <x:c r="I94" s="826"/>
      <x:c r="J94" s="826"/>
      <x:c r="K94" s="826"/>
      <x:c r="L94" s="826"/>
      <x:c r="M94" s="826"/>
      <x:c r="N94" s="826"/>
      <x:c r="O94" s="826"/>
      <x:c r="P94" s="826"/>
      <x:c r="Q94" s="826"/>
      <x:c r="R94" s="826"/>
      <x:c r="S94" s="826"/>
      <x:c r="T94" s="826"/>
      <x:c r="U94" s="826"/>
      <x:c r="V94" s="826"/>
      <x:c r="W94" s="826"/>
      <x:c r="X94" s="826"/>
      <x:c r="Y94" s="826"/>
      <x:c r="Z94" s="826"/>
      <x:c r="AA94" s="826"/>
      <x:c r="AB94" s="826"/>
      <x:c r="AC94" s="826"/>
      <x:c r="AD94" s="826"/>
      <x:c r="AE94" s="826"/>
      <x:c r="AF94" s="826"/>
      <x:c r="AG94" s="826"/>
      <x:c r="AH94" s="826"/>
      <x:c r="AI94" s="826"/>
      <x:c r="AJ94" s="826"/>
      <x:c r="AK94" s="826"/>
      <x:c r="AL94" s="826"/>
      <x:c r="AM94" s="826"/>
      <x:c r="AN94" s="826"/>
      <x:c r="AO94" s="826"/>
      <x:c r="AP94" s="826"/>
      <x:c r="AQ94" s="826"/>
      <x:c r="AR94" s="826"/>
      <x:c r="AS94" s="826"/>
      <x:c r="AT94" s="826"/>
      <x:c r="AU94" s="826"/>
      <x:c r="AV94" s="826"/>
      <x:c r="AW94" s="826"/>
      <x:c r="AX94" s="826"/>
      <x:c r="AY94" s="826"/>
      <x:c r="AZ94" s="826"/>
      <x:c r="BA94" s="826"/>
      <x:c r="BB94" s="826"/>
      <x:c r="BC94" s="826"/>
      <x:c r="BD94" s="826"/>
      <x:c r="BE94" s="826"/>
      <x:c r="BF94" s="826"/>
      <x:c r="BG94" s="826"/>
      <x:c r="BH94" s="826"/>
      <x:c r="BI94" s="826"/>
      <x:c r="BJ94" s="826"/>
    </x:row>
    <x:row r="95" ht="26" customHeight="1">
      <x:c r="A95" s="50"/>
      <x:c r="B95" s="884" t="str">
        <x:v>WBS-5</x:v>
      </x:c>
      <x:c r="C95" s="885" t="str">
        <x:v>산출물 제출·발표 (병행)</x:v>
      </x:c>
      <x:c r="D95" s="886" t="str">
        <x:v>김태윤</x:v>
      </x:c>
      <x:c r="E95" s="887" t="n">
        <x:f>MIN(E96:E115)</x:f>
        <x:v>46318</x:v>
      </x:c>
      <x:c r="F95" s="887" t="n">
        <x:f>MAX(F96:F115)</x:f>
        <x:v>46364</x:v>
      </x:c>
      <x:c r="G95" s="888" t="n">
        <x:f>COUNTIFS($I$10:$BJ$10,"&gt;="&amp;E95,$I$10:$BJ$10,"&lt;="&amp;F95)</x:f>
        <x:v>47</x:v>
      </x:c>
      <x:c r="H95" s="928" t="str">
        <x:f>IF(COUNTIFS(H96:H115,"날짜 확인")&gt;0,"날짜 확인",IF(COUNTIFS(H96:H115,"보류")=ROWS(H96:H115),"보류",IF(COUNTIFS(H96:H115,"완료")=ROWS(H96:H115)-COUNTIFS(H96:H115,"보류"),"완료",IF(COUNTIFS(H96:H115,"진행 중")+COUNTIFS(H96:H115,"완료")&gt;0,"진행 중","시작 전"))))</x:f>
        <x:v>진행 중</x:v>
      </x:c>
      <x:c r="I95" s="883"/>
      <x:c r="J95" s="883"/>
      <x:c r="K95" s="883"/>
      <x:c r="L95" s="883"/>
      <x:c r="M95" s="883"/>
      <x:c r="N95" s="883"/>
      <x:c r="O95" s="883"/>
      <x:c r="P95" s="883"/>
      <x:c r="Q95" s="883"/>
      <x:c r="R95" s="883"/>
      <x:c r="S95" s="883"/>
      <x:c r="T95" s="883"/>
      <x:c r="U95" s="883"/>
      <x:c r="V95" s="883"/>
      <x:c r="W95" s="883"/>
      <x:c r="X95" s="883"/>
      <x:c r="Y95" s="883"/>
      <x:c r="Z95" s="883"/>
      <x:c r="AA95" s="883"/>
      <x:c r="AB95" s="883"/>
      <x:c r="AC95" s="883"/>
      <x:c r="AD95" s="883"/>
      <x:c r="AE95" s="883"/>
      <x:c r="AF95" s="883"/>
      <x:c r="AG95" s="883"/>
      <x:c r="AH95" s="883"/>
      <x:c r="AI95" s="883"/>
      <x:c r="AJ95" s="883"/>
      <x:c r="AK95" s="883"/>
      <x:c r="AL95" s="883"/>
      <x:c r="AM95" s="883"/>
      <x:c r="AN95" s="883"/>
      <x:c r="AO95" s="883"/>
      <x:c r="AP95" s="883"/>
      <x:c r="AQ95" s="883"/>
      <x:c r="AR95" s="883"/>
      <x:c r="AS95" s="883"/>
      <x:c r="AT95" s="883"/>
      <x:c r="AU95" s="883"/>
      <x:c r="AV95" s="883"/>
      <x:c r="AW95" s="883"/>
      <x:c r="AX95" s="883"/>
      <x:c r="AY95" s="883"/>
      <x:c r="AZ95" s="883"/>
      <x:c r="BA95" s="883"/>
      <x:c r="BB95" s="883"/>
      <x:c r="BC95" s="883"/>
      <x:c r="BD95" s="883"/>
      <x:c r="BE95" s="883"/>
      <x:c r="BF95" s="883"/>
      <x:c r="BG95" s="883"/>
      <x:c r="BH95" s="883"/>
      <x:c r="BI95" s="883"/>
      <x:c r="BJ95" s="883"/>
    </x:row>
    <x:row r="96" ht="42" customHeight="1">
      <x:c r="A96" s="50"/>
      <x:c r="B96" s="820" t="str">
        <x:v>WBS-5.1</x:v>
      </x:c>
      <x:c r="C96" s="821" t="str">
        <x:f>'작업 상세'!C88</x:f>
        <x:v>요구사항 정의서 제출</x:v>
      </x:c>
      <x:c r="D96" s="837" t="str">
        <x:v>김태윤</x:v>
      </x:c>
      <x:c r="E96" s="838" t="n">
        <x:v>46318</x:v>
      </x:c>
      <x:c r="F96" s="838" t="n">
        <x:v>46318</x:v>
      </x:c>
      <x:c r="G96" s="824" t="n">
        <x:f>IF(OR(E96="",F96=""),"",IF(F96&lt;E96,"기간 확인",COUNTIFS($I$10:$BJ$10,"&gt;="&amp;E96,$I$10:$BJ$10,"&lt;="&amp;F96)))</x:f>
        <x:v>1</x:v>
      </x:c>
      <x:c r="H96" s="929" t="str">
        <x:f>IF(OR(NOT(ISNUMBER(E96)),NOT(ISNUMBER(F96)),F96&lt;E96),"날짜 확인",IF(TODAY()&lt;E96,"시작 전",IF(TODAY()&lt;=F96,"진행 중","완료")))</x:f>
        <x:v>완료</x:v>
      </x:c>
      <x:c r="I96" s="826"/>
      <x:c r="J96" s="826"/>
      <x:c r="K96" s="826"/>
      <x:c r="L96" s="826"/>
      <x:c r="M96" s="826"/>
      <x:c r="N96" s="826"/>
      <x:c r="O96" s="826"/>
      <x:c r="P96" s="826"/>
      <x:c r="Q96" s="826"/>
      <x:c r="R96" s="826"/>
      <x:c r="S96" s="826"/>
      <x:c r="T96" s="826"/>
      <x:c r="U96" s="826"/>
      <x:c r="V96" s="826"/>
      <x:c r="W96" s="826"/>
      <x:c r="X96" s="826"/>
      <x:c r="Y96" s="826"/>
      <x:c r="Z96" s="826"/>
      <x:c r="AA96" s="826"/>
      <x:c r="AB96" s="826"/>
      <x:c r="AC96" s="826"/>
      <x:c r="AD96" s="826"/>
      <x:c r="AE96" s="826"/>
      <x:c r="AF96" s="826"/>
      <x:c r="AG96" s="826"/>
      <x:c r="AH96" s="826"/>
      <x:c r="AI96" s="826"/>
      <x:c r="AJ96" s="826"/>
      <x:c r="AK96" s="826"/>
      <x:c r="AL96" s="826"/>
      <x:c r="AM96" s="826"/>
      <x:c r="AN96" s="826"/>
      <x:c r="AO96" s="826"/>
      <x:c r="AP96" s="826"/>
      <x:c r="AQ96" s="826"/>
      <x:c r="AR96" s="826"/>
      <x:c r="AS96" s="826"/>
      <x:c r="AT96" s="826"/>
      <x:c r="AU96" s="826"/>
      <x:c r="AV96" s="826"/>
      <x:c r="AW96" s="826"/>
      <x:c r="AX96" s="826"/>
      <x:c r="AY96" s="826"/>
      <x:c r="AZ96" s="826"/>
      <x:c r="BA96" s="826"/>
      <x:c r="BB96" s="826"/>
      <x:c r="BC96" s="826"/>
      <x:c r="BD96" s="826"/>
      <x:c r="BE96" s="826"/>
      <x:c r="BF96" s="826"/>
      <x:c r="BG96" s="826"/>
      <x:c r="BH96" s="826"/>
      <x:c r="BI96" s="826"/>
      <x:c r="BJ96" s="826"/>
    </x:row>
    <x:row r="97" ht="42" customHeight="1">
      <x:c r="A97" s="50"/>
      <x:c r="B97" s="820" t="str">
        <x:v>WBS-5.2</x:v>
      </x:c>
      <x:c r="C97" s="821" t="str">
        <x:f>'작업 상세'!C89</x:f>
        <x:v>WBS 제출</x:v>
      </x:c>
      <x:c r="D97" s="837" t="str">
        <x:v>김태윤</x:v>
      </x:c>
      <x:c r="E97" s="838" t="n">
        <x:v>46318</x:v>
      </x:c>
      <x:c r="F97" s="838" t="n">
        <x:v>46318</x:v>
      </x:c>
      <x:c r="G97" s="824" t="n">
        <x:f>IF(OR(E97="",F97=""),"",IF(F97&lt;E97,"기간 확인",COUNTIFS($I$10:$BJ$10,"&gt;="&amp;E97,$I$10:$BJ$10,"&lt;="&amp;F97)))</x:f>
        <x:v>1</x:v>
      </x:c>
      <x:c r="H97" s="929" t="str">
        <x:f>IF(OR(NOT(ISNUMBER(E97)),NOT(ISNUMBER(F97)),F97&lt;E97),"날짜 확인",IF(TODAY()&lt;E97,"시작 전",IF(TODAY()&lt;=F97,"진행 중","완료")))</x:f>
        <x:v>완료</x:v>
      </x:c>
      <x:c r="I97" s="826"/>
      <x:c r="J97" s="826"/>
      <x:c r="K97" s="826"/>
      <x:c r="L97" s="826"/>
      <x:c r="M97" s="826"/>
      <x:c r="N97" s="826"/>
      <x:c r="O97" s="826"/>
      <x:c r="P97" s="826"/>
      <x:c r="Q97" s="826"/>
      <x:c r="R97" s="826"/>
      <x:c r="S97" s="826"/>
      <x:c r="T97" s="826"/>
      <x:c r="U97" s="826"/>
      <x:c r="V97" s="826"/>
      <x:c r="W97" s="826"/>
      <x:c r="X97" s="826"/>
      <x:c r="Y97" s="826"/>
      <x:c r="Z97" s="826"/>
      <x:c r="AA97" s="826"/>
      <x:c r="AB97" s="826"/>
      <x:c r="AC97" s="826"/>
      <x:c r="AD97" s="826"/>
      <x:c r="AE97" s="826"/>
      <x:c r="AF97" s="826"/>
      <x:c r="AG97" s="826"/>
      <x:c r="AH97" s="826"/>
      <x:c r="AI97" s="826"/>
      <x:c r="AJ97" s="826"/>
      <x:c r="AK97" s="826"/>
      <x:c r="AL97" s="826"/>
      <x:c r="AM97" s="826"/>
      <x:c r="AN97" s="826"/>
      <x:c r="AO97" s="826"/>
      <x:c r="AP97" s="826"/>
      <x:c r="AQ97" s="826"/>
      <x:c r="AR97" s="826"/>
      <x:c r="AS97" s="826"/>
      <x:c r="AT97" s="826"/>
      <x:c r="AU97" s="826"/>
      <x:c r="AV97" s="826"/>
      <x:c r="AW97" s="826"/>
      <x:c r="AX97" s="826"/>
      <x:c r="AY97" s="826"/>
      <x:c r="AZ97" s="826"/>
      <x:c r="BA97" s="826"/>
      <x:c r="BB97" s="826"/>
      <x:c r="BC97" s="826"/>
      <x:c r="BD97" s="826"/>
      <x:c r="BE97" s="826"/>
      <x:c r="BF97" s="826"/>
      <x:c r="BG97" s="826"/>
      <x:c r="BH97" s="826"/>
      <x:c r="BI97" s="826"/>
      <x:c r="BJ97" s="826"/>
    </x:row>
    <x:row r="98" ht="42" customHeight="1">
      <x:c r="A98" s="50"/>
      <x:c r="B98" s="820" t="str">
        <x:v>WBS-5.3</x:v>
      </x:c>
      <x:c r="C98" s="821" t="str">
        <x:f>'작업 상세'!C90</x:f>
        <x:v>프로젝트 기획서 제출</x:v>
      </x:c>
      <x:c r="D98" s="837" t="str">
        <x:v>김태윤</x:v>
      </x:c>
      <x:c r="E98" s="838" t="n">
        <x:v>46318</x:v>
      </x:c>
      <x:c r="F98" s="838" t="n">
        <x:v>46318</x:v>
      </x:c>
      <x:c r="G98" s="824" t="n">
        <x:f>IF(OR(E98="",F98=""),"",IF(F98&lt;E98,"기간 확인",COUNTIFS($I$10:$BJ$10,"&gt;="&amp;E98,$I$10:$BJ$10,"&lt;="&amp;F98)))</x:f>
        <x:v>1</x:v>
      </x:c>
      <x:c r="H98" s="929" t="str">
        <x:f>IF(OR(NOT(ISNUMBER(E98)),NOT(ISNUMBER(F98)),F98&lt;E98),"날짜 확인",IF(TODAY()&lt;E98,"시작 전",IF(TODAY()&lt;=F98,"진행 중","완료")))</x:f>
        <x:v>완료</x:v>
      </x:c>
      <x:c r="I98" s="826"/>
      <x:c r="J98" s="826"/>
      <x:c r="K98" s="826"/>
      <x:c r="L98" s="826"/>
      <x:c r="M98" s="826"/>
      <x:c r="N98" s="826"/>
      <x:c r="O98" s="826"/>
      <x:c r="P98" s="826"/>
      <x:c r="Q98" s="826"/>
      <x:c r="R98" s="826"/>
      <x:c r="S98" s="826"/>
      <x:c r="T98" s="826"/>
      <x:c r="U98" s="826"/>
      <x:c r="V98" s="826"/>
      <x:c r="W98" s="826"/>
      <x:c r="X98" s="826"/>
      <x:c r="Y98" s="826"/>
      <x:c r="Z98" s="826"/>
      <x:c r="AA98" s="826"/>
      <x:c r="AB98" s="826"/>
      <x:c r="AC98" s="826"/>
      <x:c r="AD98" s="826"/>
      <x:c r="AE98" s="826"/>
      <x:c r="AF98" s="826"/>
      <x:c r="AG98" s="826"/>
      <x:c r="AH98" s="826"/>
      <x:c r="AI98" s="826"/>
      <x:c r="AJ98" s="826"/>
      <x:c r="AK98" s="826"/>
      <x:c r="AL98" s="826"/>
      <x:c r="AM98" s="826"/>
      <x:c r="AN98" s="826"/>
      <x:c r="AO98" s="826"/>
      <x:c r="AP98" s="826"/>
      <x:c r="AQ98" s="826"/>
      <x:c r="AR98" s="826"/>
      <x:c r="AS98" s="826"/>
      <x:c r="AT98" s="826"/>
      <x:c r="AU98" s="826"/>
      <x:c r="AV98" s="826"/>
      <x:c r="AW98" s="826"/>
      <x:c r="AX98" s="826"/>
      <x:c r="AY98" s="826"/>
      <x:c r="AZ98" s="826"/>
      <x:c r="BA98" s="826"/>
      <x:c r="BB98" s="826"/>
      <x:c r="BC98" s="826"/>
      <x:c r="BD98" s="826"/>
      <x:c r="BE98" s="826"/>
      <x:c r="BF98" s="826"/>
      <x:c r="BG98" s="826"/>
      <x:c r="BH98" s="826"/>
      <x:c r="BI98" s="826"/>
      <x:c r="BJ98" s="826"/>
    </x:row>
    <x:row r="99" ht="42" customHeight="1">
      <x:c r="A99" s="50"/>
      <x:c r="B99" s="820" t="str">
        <x:v>WBS-5.4</x:v>
      </x:c>
      <x:c r="C99" s="821" t="str">
        <x:f>'작업 상세'!C91</x:f>
        <x:v>수집 데이터 보고서 제출</x:v>
      </x:c>
      <x:c r="D99" s="837" t="str">
        <x:v>김동섭</x:v>
      </x:c>
      <x:c r="E99" s="838" t="n">
        <x:v>46318</x:v>
      </x:c>
      <x:c r="F99" s="838" t="n">
        <x:v>46318</x:v>
      </x:c>
      <x:c r="G99" s="824" t="n">
        <x:f>IF(OR(E99="",F99=""),"",IF(F99&lt;E99,"기간 확인",COUNTIFS($I$10:$BJ$10,"&gt;="&amp;E99,$I$10:$BJ$10,"&lt;="&amp;F99)))</x:f>
        <x:v>1</x:v>
      </x:c>
      <x:c r="H99" s="929" t="str">
        <x:f>IF(OR(NOT(ISNUMBER(E99)),NOT(ISNUMBER(F99)),F99&lt;E99),"날짜 확인",IF(TODAY()&lt;E99,"시작 전",IF(TODAY()&lt;=F99,"진행 중","완료")))</x:f>
        <x:v>완료</x:v>
      </x:c>
      <x:c r="I99" s="826"/>
      <x:c r="J99" s="826"/>
      <x:c r="K99" s="826"/>
      <x:c r="L99" s="826"/>
      <x:c r="M99" s="826"/>
      <x:c r="N99" s="826"/>
      <x:c r="O99" s="826"/>
      <x:c r="P99" s="826"/>
      <x:c r="Q99" s="826"/>
      <x:c r="R99" s="826"/>
      <x:c r="S99" s="826"/>
      <x:c r="T99" s="826"/>
      <x:c r="U99" s="826"/>
      <x:c r="V99" s="826"/>
      <x:c r="W99" s="826"/>
      <x:c r="X99" s="826"/>
      <x:c r="Y99" s="826"/>
      <x:c r="Z99" s="826"/>
      <x:c r="AA99" s="826"/>
      <x:c r="AB99" s="826"/>
      <x:c r="AC99" s="826"/>
      <x:c r="AD99" s="826"/>
      <x:c r="AE99" s="826"/>
      <x:c r="AF99" s="826"/>
      <x:c r="AG99" s="826"/>
      <x:c r="AH99" s="826"/>
      <x:c r="AI99" s="826"/>
      <x:c r="AJ99" s="826"/>
      <x:c r="AK99" s="826"/>
      <x:c r="AL99" s="826"/>
      <x:c r="AM99" s="826"/>
      <x:c r="AN99" s="826"/>
      <x:c r="AO99" s="826"/>
      <x:c r="AP99" s="826"/>
      <x:c r="AQ99" s="826"/>
      <x:c r="AR99" s="826"/>
      <x:c r="AS99" s="826"/>
      <x:c r="AT99" s="826"/>
      <x:c r="AU99" s="826"/>
      <x:c r="AV99" s="826"/>
      <x:c r="AW99" s="826"/>
      <x:c r="AX99" s="826"/>
      <x:c r="AY99" s="826"/>
      <x:c r="AZ99" s="826"/>
      <x:c r="BA99" s="826"/>
      <x:c r="BB99" s="826"/>
      <x:c r="BC99" s="826"/>
      <x:c r="BD99" s="826"/>
      <x:c r="BE99" s="826"/>
      <x:c r="BF99" s="826"/>
      <x:c r="BG99" s="826"/>
      <x:c r="BH99" s="826"/>
      <x:c r="BI99" s="826"/>
      <x:c r="BJ99" s="826"/>
    </x:row>
    <x:row r="100" ht="42" customHeight="1">
      <x:c r="A100" s="50"/>
      <x:c r="B100" s="820" t="str">
        <x:v>WBS-5.5</x:v>
      </x:c>
      <x:c r="C100" s="821" t="str">
        <x:f>'작업 상세'!C92</x:f>
        <x:v>AI 시스템 아키텍처 제출</x:v>
      </x:c>
      <x:c r="D100" s="837" t="str">
        <x:v>최성욱</x:v>
      </x:c>
      <x:c r="E100" s="838" t="n">
        <x:v>46325</x:v>
      </x:c>
      <x:c r="F100" s="838" t="n">
        <x:v>46325</x:v>
      </x:c>
      <x:c r="G100" s="824" t="n">
        <x:f>IF(OR(E100="",F100=""),"",IF(F100&lt;E100,"기간 확인",COUNTIFS($I$10:$BJ$10,"&gt;="&amp;E100,$I$10:$BJ$10,"&lt;="&amp;F100)))</x:f>
        <x:v>1</x:v>
      </x:c>
      <x:c r="H100" s="929" t="str">
        <x:f>IF(OR(NOT(ISNUMBER(E100)),NOT(ISNUMBER(F100)),F100&lt;E100),"날짜 확인",IF(TODAY()&lt;E100,"시작 전",IF(TODAY()&lt;=F100,"진행 중","완료")))</x:f>
        <x:v>시작 전</x:v>
      </x:c>
      <x:c r="I100" s="826"/>
      <x:c r="J100" s="826"/>
      <x:c r="K100" s="826"/>
      <x:c r="L100" s="826"/>
      <x:c r="M100" s="826"/>
      <x:c r="N100" s="826"/>
      <x:c r="O100" s="826"/>
      <x:c r="P100" s="826"/>
      <x:c r="Q100" s="826"/>
      <x:c r="R100" s="826"/>
      <x:c r="S100" s="826"/>
      <x:c r="T100" s="826"/>
      <x:c r="U100" s="826"/>
      <x:c r="V100" s="826"/>
      <x:c r="W100" s="826"/>
      <x:c r="X100" s="826"/>
      <x:c r="Y100" s="826"/>
      <x:c r="Z100" s="826"/>
      <x:c r="AA100" s="826"/>
      <x:c r="AB100" s="826"/>
      <x:c r="AC100" s="826"/>
      <x:c r="AD100" s="826"/>
      <x:c r="AE100" s="826"/>
      <x:c r="AF100" s="826"/>
      <x:c r="AG100" s="826"/>
      <x:c r="AH100" s="826"/>
      <x:c r="AI100" s="826"/>
      <x:c r="AJ100" s="826"/>
      <x:c r="AK100" s="826"/>
      <x:c r="AL100" s="826"/>
      <x:c r="AM100" s="826"/>
      <x:c r="AN100" s="826"/>
      <x:c r="AO100" s="826"/>
      <x:c r="AP100" s="826"/>
      <x:c r="AQ100" s="826"/>
      <x:c r="AR100" s="826"/>
      <x:c r="AS100" s="826"/>
      <x:c r="AT100" s="826"/>
      <x:c r="AU100" s="826"/>
      <x:c r="AV100" s="826"/>
      <x:c r="AW100" s="826"/>
      <x:c r="AX100" s="826"/>
      <x:c r="AY100" s="826"/>
      <x:c r="AZ100" s="826"/>
      <x:c r="BA100" s="826"/>
      <x:c r="BB100" s="826"/>
      <x:c r="BC100" s="826"/>
      <x:c r="BD100" s="826"/>
      <x:c r="BE100" s="826"/>
      <x:c r="BF100" s="826"/>
      <x:c r="BG100" s="826"/>
      <x:c r="BH100" s="826"/>
      <x:c r="BI100" s="826"/>
      <x:c r="BJ100" s="826"/>
    </x:row>
    <x:row r="101" ht="42" customHeight="1">
      <x:c r="A101" s="50"/>
      <x:c r="B101" s="820" t="str">
        <x:v>WBS-5.6</x:v>
      </x:c>
      <x:c r="C101" s="821" t="str">
        <x:f>'작업 상세'!C93</x:f>
        <x:v>화면설계서 제출</x:v>
      </x:c>
      <x:c r="D101" s="837" t="str">
        <x:v>황수빈</x:v>
      </x:c>
      <x:c r="E101" s="838" t="n">
        <x:v>46325</x:v>
      </x:c>
      <x:c r="F101" s="838" t="n">
        <x:v>46325</x:v>
      </x:c>
      <x:c r="G101" s="824" t="n">
        <x:f>IF(OR(E101="",F101=""),"",IF(F101&lt;E101,"기간 확인",COUNTIFS($I$10:$BJ$10,"&gt;="&amp;E101,$I$10:$BJ$10,"&lt;="&amp;F101)))</x:f>
        <x:v>1</x:v>
      </x:c>
      <x:c r="H101" s="929" t="str">
        <x:f>IF(OR(NOT(ISNUMBER(E101)),NOT(ISNUMBER(F101)),F101&lt;E101),"날짜 확인",IF(TODAY()&lt;E101,"시작 전",IF(TODAY()&lt;=F101,"진행 중","완료")))</x:f>
        <x:v>시작 전</x:v>
      </x:c>
      <x:c r="I101" s="826"/>
      <x:c r="J101" s="826"/>
      <x:c r="K101" s="826"/>
      <x:c r="L101" s="826"/>
      <x:c r="M101" s="826"/>
      <x:c r="N101" s="826"/>
      <x:c r="O101" s="826"/>
      <x:c r="P101" s="826"/>
      <x:c r="Q101" s="826"/>
      <x:c r="R101" s="826"/>
      <x:c r="S101" s="826"/>
      <x:c r="T101" s="826"/>
      <x:c r="U101" s="826"/>
      <x:c r="V101" s="826"/>
      <x:c r="W101" s="826"/>
      <x:c r="X101" s="826"/>
      <x:c r="Y101" s="826"/>
      <x:c r="Z101" s="826"/>
      <x:c r="AA101" s="826"/>
      <x:c r="AB101" s="826"/>
      <x:c r="AC101" s="826"/>
      <x:c r="AD101" s="826"/>
      <x:c r="AE101" s="826"/>
      <x:c r="AF101" s="826"/>
      <x:c r="AG101" s="826"/>
      <x:c r="AH101" s="826"/>
      <x:c r="AI101" s="826"/>
      <x:c r="AJ101" s="826"/>
      <x:c r="AK101" s="826"/>
      <x:c r="AL101" s="826"/>
      <x:c r="AM101" s="826"/>
      <x:c r="AN101" s="826"/>
      <x:c r="AO101" s="826"/>
      <x:c r="AP101" s="826"/>
      <x:c r="AQ101" s="826"/>
      <x:c r="AR101" s="826"/>
      <x:c r="AS101" s="826"/>
      <x:c r="AT101" s="826"/>
      <x:c r="AU101" s="826"/>
      <x:c r="AV101" s="826"/>
      <x:c r="AW101" s="826"/>
      <x:c r="AX101" s="826"/>
      <x:c r="AY101" s="826"/>
      <x:c r="AZ101" s="826"/>
      <x:c r="BA101" s="826"/>
      <x:c r="BB101" s="826"/>
      <x:c r="BC101" s="826"/>
      <x:c r="BD101" s="826"/>
      <x:c r="BE101" s="826"/>
      <x:c r="BF101" s="826"/>
      <x:c r="BG101" s="826"/>
      <x:c r="BH101" s="826"/>
      <x:c r="BI101" s="826"/>
      <x:c r="BJ101" s="826"/>
    </x:row>
    <x:row r="102" ht="42" customHeight="1">
      <x:c r="A102" s="50"/>
      <x:c r="B102" s="820" t="str">
        <x:v>WBS-5.7</x:v>
      </x:c>
      <x:c r="C102" s="821" t="str">
        <x:f>'작업 상세'!C94</x:f>
        <x:v>시스템 구성도 제출</x:v>
      </x:c>
      <x:c r="D102" s="837" t="str">
        <x:v>김동섭</x:v>
      </x:c>
      <x:c r="E102" s="838" t="n">
        <x:v>46325</x:v>
      </x:c>
      <x:c r="F102" s="838" t="n">
        <x:v>46325</x:v>
      </x:c>
      <x:c r="G102" s="824" t="n">
        <x:f>IF(OR(E102="",F102=""),"",IF(F102&lt;E102,"기간 확인",COUNTIFS($I$10:$BJ$10,"&gt;="&amp;E102,$I$10:$BJ$10,"&lt;="&amp;F102)))</x:f>
        <x:v>1</x:v>
      </x:c>
      <x:c r="H102" s="929" t="str">
        <x:f>IF(OR(NOT(ISNUMBER(E102)),NOT(ISNUMBER(F102)),F102&lt;E102),"날짜 확인",IF(TODAY()&lt;E102,"시작 전",IF(TODAY()&lt;=F102,"진행 중","완료")))</x:f>
        <x:v>시작 전</x:v>
      </x:c>
      <x:c r="I102" s="826"/>
      <x:c r="J102" s="826"/>
      <x:c r="K102" s="826"/>
      <x:c r="L102" s="826"/>
      <x:c r="M102" s="826"/>
      <x:c r="N102" s="826"/>
      <x:c r="O102" s="826"/>
      <x:c r="P102" s="826"/>
      <x:c r="Q102" s="826"/>
      <x:c r="R102" s="826"/>
      <x:c r="S102" s="826"/>
      <x:c r="T102" s="826"/>
      <x:c r="U102" s="826"/>
      <x:c r="V102" s="826"/>
      <x:c r="W102" s="826"/>
      <x:c r="X102" s="826"/>
      <x:c r="Y102" s="826"/>
      <x:c r="Z102" s="826"/>
      <x:c r="AA102" s="826"/>
      <x:c r="AB102" s="826"/>
      <x:c r="AC102" s="826"/>
      <x:c r="AD102" s="826"/>
      <x:c r="AE102" s="826"/>
      <x:c r="AF102" s="826"/>
      <x:c r="AG102" s="826"/>
      <x:c r="AH102" s="826"/>
      <x:c r="AI102" s="826"/>
      <x:c r="AJ102" s="826"/>
      <x:c r="AK102" s="826"/>
      <x:c r="AL102" s="826"/>
      <x:c r="AM102" s="826"/>
      <x:c r="AN102" s="826"/>
      <x:c r="AO102" s="826"/>
      <x:c r="AP102" s="826"/>
      <x:c r="AQ102" s="826"/>
      <x:c r="AR102" s="826"/>
      <x:c r="AS102" s="826"/>
      <x:c r="AT102" s="826"/>
      <x:c r="AU102" s="826"/>
      <x:c r="AV102" s="826"/>
      <x:c r="AW102" s="826"/>
      <x:c r="AX102" s="826"/>
      <x:c r="AY102" s="826"/>
      <x:c r="AZ102" s="826"/>
      <x:c r="BA102" s="826"/>
      <x:c r="BB102" s="826"/>
      <x:c r="BC102" s="826"/>
      <x:c r="BD102" s="826"/>
      <x:c r="BE102" s="826"/>
      <x:c r="BF102" s="826"/>
      <x:c r="BG102" s="826"/>
      <x:c r="BH102" s="826"/>
      <x:c r="BI102" s="826"/>
      <x:c r="BJ102" s="826"/>
    </x:row>
    <x:row r="103" ht="42" customHeight="1">
      <x:c r="A103" s="50"/>
      <x:c r="B103" s="820" t="str">
        <x:v>WBS-5.10</x:v>
      </x:c>
      <x:c r="C103" s="821" t="str">
        <x:f>'작업 상세'!C95</x:f>
        <x:v>중간 발표자료 작성·제출·발표</x:v>
      </x:c>
      <x:c r="D103" s="837" t="str">
        <x:v>김태윤</x:v>
      </x:c>
      <x:c r="E103" s="838" t="n">
        <x:v>46330</x:v>
      </x:c>
      <x:c r="F103" s="838" t="n">
        <x:v>46332</x:v>
      </x:c>
      <x:c r="G103" s="824" t="n">
        <x:f>IF(OR(E103="",F103=""),"",IF(F103&lt;E103,"기간 확인",COUNTIFS($I$10:$BJ$10,"&gt;="&amp;E103,$I$10:$BJ$10,"&lt;="&amp;F103)))</x:f>
        <x:v>3</x:v>
      </x:c>
      <x:c r="H103" s="929" t="str">
        <x:f>IF(OR(NOT(ISNUMBER(E103)),NOT(ISNUMBER(F103)),F103&lt;E103),"날짜 확인",IF(TODAY()&lt;E103,"시작 전",IF(TODAY()&lt;=F103,"진행 중","완료")))</x:f>
        <x:v>시작 전</x:v>
      </x:c>
      <x:c r="I103" s="826"/>
      <x:c r="J103" s="826"/>
      <x:c r="K103" s="826"/>
      <x:c r="L103" s="826"/>
      <x:c r="M103" s="826"/>
      <x:c r="N103" s="826"/>
      <x:c r="O103" s="826"/>
      <x:c r="P103" s="826"/>
      <x:c r="Q103" s="826"/>
      <x:c r="R103" s="826"/>
      <x:c r="S103" s="826"/>
      <x:c r="T103" s="826"/>
      <x:c r="U103" s="826"/>
      <x:c r="V103" s="826"/>
      <x:c r="W103" s="826"/>
      <x:c r="X103" s="826"/>
      <x:c r="Y103" s="826"/>
      <x:c r="Z103" s="826"/>
      <x:c r="AA103" s="826"/>
      <x:c r="AB103" s="826"/>
      <x:c r="AC103" s="826"/>
      <x:c r="AD103" s="826"/>
      <x:c r="AE103" s="826"/>
      <x:c r="AF103" s="826"/>
      <x:c r="AG103" s="826"/>
      <x:c r="AH103" s="826"/>
      <x:c r="AI103" s="826"/>
      <x:c r="AJ103" s="826"/>
      <x:c r="AK103" s="826"/>
      <x:c r="AL103" s="826"/>
      <x:c r="AM103" s="826"/>
      <x:c r="AN103" s="826"/>
      <x:c r="AO103" s="826"/>
      <x:c r="AP103" s="826"/>
      <x:c r="AQ103" s="826"/>
      <x:c r="AR103" s="826"/>
      <x:c r="AS103" s="826"/>
      <x:c r="AT103" s="826"/>
      <x:c r="AU103" s="826"/>
      <x:c r="AV103" s="826"/>
      <x:c r="AW103" s="826"/>
      <x:c r="AX103" s="826"/>
      <x:c r="AY103" s="826"/>
      <x:c r="AZ103" s="826"/>
      <x:c r="BA103" s="826"/>
      <x:c r="BB103" s="826"/>
      <x:c r="BC103" s="826"/>
      <x:c r="BD103" s="826"/>
      <x:c r="BE103" s="826"/>
      <x:c r="BF103" s="826"/>
      <x:c r="BG103" s="826"/>
      <x:c r="BH103" s="826"/>
      <x:c r="BI103" s="826"/>
      <x:c r="BJ103" s="826"/>
    </x:row>
    <x:row r="104" ht="42" customHeight="1">
      <x:c r="A104" s="50"/>
      <x:c r="B104" s="820" t="str">
        <x:v>WBS-5.8</x:v>
      </x:c>
      <x:c r="C104" s="821" t="str">
        <x:f>'작업 상세'!C96</x:f>
        <x:v>DB/저장소 설계 문서 제출</x:v>
      </x:c>
      <x:c r="D104" s="837" t="str">
        <x:v>최인영</x:v>
      </x:c>
      <x:c r="E104" s="838" t="n">
        <x:v>46332</x:v>
      </x:c>
      <x:c r="F104" s="838" t="n">
        <x:v>46332</x:v>
      </x:c>
      <x:c r="G104" s="824" t="n">
        <x:f>IF(OR(E104="",F104=""),"",IF(F104&lt;E104,"기간 확인",COUNTIFS($I$10:$BJ$10,"&gt;="&amp;E104,$I$10:$BJ$10,"&lt;="&amp;F104)))</x:f>
        <x:v>1</x:v>
      </x:c>
      <x:c r="H104" s="929" t="str">
        <x:f>IF(OR(NOT(ISNUMBER(E104)),NOT(ISNUMBER(F104)),F104&lt;E104),"날짜 확인",IF(TODAY()&lt;E104,"시작 전",IF(TODAY()&lt;=F104,"진행 중","완료")))</x:f>
        <x:v>시작 전</x:v>
      </x:c>
      <x:c r="I104" s="826"/>
      <x:c r="J104" s="826"/>
      <x:c r="K104" s="826"/>
      <x:c r="L104" s="826"/>
      <x:c r="M104" s="826"/>
      <x:c r="N104" s="826"/>
      <x:c r="O104" s="826"/>
      <x:c r="P104" s="826"/>
      <x:c r="Q104" s="826"/>
      <x:c r="R104" s="826"/>
      <x:c r="S104" s="826"/>
      <x:c r="T104" s="826"/>
      <x:c r="U104" s="826"/>
      <x:c r="V104" s="826"/>
      <x:c r="W104" s="826"/>
      <x:c r="X104" s="826"/>
      <x:c r="Y104" s="826"/>
      <x:c r="Z104" s="826"/>
      <x:c r="AA104" s="826"/>
      <x:c r="AB104" s="826"/>
      <x:c r="AC104" s="826"/>
      <x:c r="AD104" s="826"/>
      <x:c r="AE104" s="826"/>
      <x:c r="AF104" s="826"/>
      <x:c r="AG104" s="826"/>
      <x:c r="AH104" s="826"/>
      <x:c r="AI104" s="826"/>
      <x:c r="AJ104" s="826"/>
      <x:c r="AK104" s="826"/>
      <x:c r="AL104" s="826"/>
      <x:c r="AM104" s="826"/>
      <x:c r="AN104" s="826"/>
      <x:c r="AO104" s="826"/>
      <x:c r="AP104" s="826"/>
      <x:c r="AQ104" s="826"/>
      <x:c r="AR104" s="826"/>
      <x:c r="AS104" s="826"/>
      <x:c r="AT104" s="826"/>
      <x:c r="AU104" s="826"/>
      <x:c r="AV104" s="826"/>
      <x:c r="AW104" s="826"/>
      <x:c r="AX104" s="826"/>
      <x:c r="AY104" s="826"/>
      <x:c r="AZ104" s="826"/>
      <x:c r="BA104" s="826"/>
      <x:c r="BB104" s="826"/>
      <x:c r="BC104" s="826"/>
      <x:c r="BD104" s="826"/>
      <x:c r="BE104" s="826"/>
      <x:c r="BF104" s="826"/>
      <x:c r="BG104" s="826"/>
      <x:c r="BH104" s="826"/>
      <x:c r="BI104" s="826"/>
      <x:c r="BJ104" s="826"/>
    </x:row>
    <x:row r="105" ht="42" customHeight="1">
      <x:c r="A105" s="50"/>
      <x:c r="B105" s="827" t="str">
        <x:v>WBS-5.9</x:v>
      </x:c>
      <x:c r="C105" s="821" t="str">
        <x:f>'작업 상세'!C97</x:f>
        <x:v>데이터 전처리 결과서 제출</x:v>
      </x:c>
      <x:c r="D105" s="839" t="str">
        <x:v>김재현</x:v>
      </x:c>
      <x:c r="E105" s="840" t="n">
        <x:v>46332</x:v>
      </x:c>
      <x:c r="F105" s="840" t="n">
        <x:v>46332</x:v>
      </x:c>
      <x:c r="G105" s="827" t="n">
        <x:f>IF(OR(E105="",F105=""),"",IF(F105&lt;E105,"기간 확인",COUNTIFS($I$10:$BJ$10,"&gt;="&amp;E105,$I$10:$BJ$10,"&lt;="&amp;F105)))</x:f>
        <x:v>1</x:v>
      </x:c>
      <x:c r="H105" s="935" t="str">
        <x:f>IF(OR(NOT(ISNUMBER(E105)),NOT(ISNUMBER(F105)),F105&lt;E105),"날짜 확인",IF(TODAY()&lt;E105,"시작 전",IF(TODAY()&lt;=F105,"진행 중","완료")))</x:f>
        <x:v>시작 전</x:v>
      </x:c>
      <x:c r="I105" s="827"/>
      <x:c r="J105" s="827"/>
      <x:c r="K105" s="827"/>
      <x:c r="L105" s="827"/>
      <x:c r="M105" s="827"/>
      <x:c r="N105" s="827"/>
      <x:c r="O105" s="827"/>
      <x:c r="P105" s="827"/>
      <x:c r="Q105" s="827"/>
      <x:c r="R105" s="827"/>
      <x:c r="S105" s="827"/>
      <x:c r="T105" s="827"/>
      <x:c r="U105" s="827"/>
      <x:c r="V105" s="827"/>
      <x:c r="W105" s="827"/>
      <x:c r="X105" s="827"/>
      <x:c r="Y105" s="827"/>
      <x:c r="Z105" s="827"/>
      <x:c r="AA105" s="827"/>
      <x:c r="AB105" s="827"/>
      <x:c r="AC105" s="827"/>
      <x:c r="AD105" s="827"/>
      <x:c r="AE105" s="827"/>
      <x:c r="AF105" s="827"/>
      <x:c r="AG105" s="827"/>
      <x:c r="AH105" s="827"/>
      <x:c r="AI105" s="827"/>
      <x:c r="AJ105" s="827"/>
      <x:c r="AK105" s="827"/>
      <x:c r="AL105" s="827"/>
      <x:c r="AM105" s="827"/>
      <x:c r="AN105" s="827"/>
      <x:c r="AO105" s="827"/>
      <x:c r="AP105" s="827"/>
      <x:c r="AQ105" s="827"/>
      <x:c r="AR105" s="827"/>
      <x:c r="AS105" s="827"/>
      <x:c r="AT105" s="827"/>
      <x:c r="AU105" s="827"/>
      <x:c r="AV105" s="827"/>
      <x:c r="AW105" s="827"/>
      <x:c r="AX105" s="827"/>
      <x:c r="AY105" s="827"/>
      <x:c r="AZ105" s="827"/>
      <x:c r="BA105" s="827"/>
      <x:c r="BB105" s="827"/>
      <x:c r="BC105" s="827"/>
      <x:c r="BD105" s="827"/>
      <x:c r="BE105" s="827"/>
      <x:c r="BF105" s="827"/>
      <x:c r="BG105" s="827"/>
      <x:c r="BH105" s="827"/>
      <x:c r="BI105" s="827"/>
      <x:c r="BJ105" s="827"/>
    </x:row>
    <x:row r="106" ht="42" customHeight="1">
      <x:c r="A106" s="50"/>
      <x:c r="B106" s="820" t="str">
        <x:v>WBS-5.11</x:v>
      </x:c>
      <x:c r="C106" s="821" t="str">
        <x:f>'작업 상세'!C98</x:f>
        <x:v>ML/DL 학습결과서 제출</x:v>
      </x:c>
      <x:c r="D106" s="837" t="str">
        <x:v>김재현</x:v>
      </x:c>
      <x:c r="E106" s="838" t="n">
        <x:v>46339</x:v>
      </x:c>
      <x:c r="F106" s="838" t="n">
        <x:v>46339</x:v>
      </x:c>
      <x:c r="G106" s="824" t="n">
        <x:f>IF(OR(E106="",F106=""),"",IF(F106&lt;E106,"기간 확인",COUNTIFS($I$10:$BJ$10,"&gt;="&amp;E106,$I$10:$BJ$10,"&lt;="&amp;F106)))</x:f>
        <x:v>1</x:v>
      </x:c>
      <x:c r="H106" s="929" t="str">
        <x:f>IF(OR(NOT(ISNUMBER(E106)),NOT(ISNUMBER(F106)),F106&lt;E106),"날짜 확인",IF(TODAY()&lt;E106,"시작 전",IF(TODAY()&lt;=F106,"진행 중","완료")))</x:f>
        <x:v>시작 전</x:v>
      </x:c>
      <x:c r="I106" s="826"/>
      <x:c r="J106" s="826"/>
      <x:c r="K106" s="826"/>
      <x:c r="L106" s="826"/>
      <x:c r="M106" s="826"/>
      <x:c r="N106" s="826"/>
      <x:c r="O106" s="826"/>
      <x:c r="P106" s="826"/>
      <x:c r="Q106" s="826"/>
      <x:c r="R106" s="826"/>
      <x:c r="S106" s="826"/>
      <x:c r="T106" s="826"/>
      <x:c r="U106" s="826"/>
      <x:c r="V106" s="826"/>
      <x:c r="W106" s="826"/>
      <x:c r="X106" s="826"/>
      <x:c r="Y106" s="826"/>
      <x:c r="Z106" s="826"/>
      <x:c r="AA106" s="826"/>
      <x:c r="AB106" s="826"/>
      <x:c r="AC106" s="826"/>
      <x:c r="AD106" s="826"/>
      <x:c r="AE106" s="826"/>
      <x:c r="AF106" s="826"/>
      <x:c r="AG106" s="826"/>
      <x:c r="AH106" s="826"/>
      <x:c r="AI106" s="826"/>
      <x:c r="AJ106" s="826"/>
      <x:c r="AK106" s="826"/>
      <x:c r="AL106" s="826"/>
      <x:c r="AM106" s="826"/>
      <x:c r="AN106" s="826"/>
      <x:c r="AO106" s="826"/>
      <x:c r="AP106" s="826"/>
      <x:c r="AQ106" s="826"/>
      <x:c r="AR106" s="826"/>
      <x:c r="AS106" s="826"/>
      <x:c r="AT106" s="826"/>
      <x:c r="AU106" s="826"/>
      <x:c r="AV106" s="826"/>
      <x:c r="AW106" s="826"/>
      <x:c r="AX106" s="826"/>
      <x:c r="AY106" s="826"/>
      <x:c r="AZ106" s="826"/>
      <x:c r="BA106" s="826"/>
      <x:c r="BB106" s="826"/>
      <x:c r="BC106" s="826"/>
      <x:c r="BD106" s="826"/>
      <x:c r="BE106" s="826"/>
      <x:c r="BF106" s="826"/>
      <x:c r="BG106" s="826"/>
      <x:c r="BH106" s="826"/>
      <x:c r="BI106" s="826"/>
      <x:c r="BJ106" s="826"/>
    </x:row>
    <x:row r="107" ht="42" customHeight="1">
      <x:c r="A107" s="50"/>
      <x:c r="B107" s="820" t="str">
        <x:v>WBS-5.12</x:v>
      </x:c>
      <x:c r="C107" s="821" t="str">
        <x:f>'작업 상세'!C99</x:f>
        <x:v>학습한 ML/DL 모델 제출</x:v>
      </x:c>
      <x:c r="D107" s="837" t="str">
        <x:v>김재현</x:v>
      </x:c>
      <x:c r="E107" s="838" t="n">
        <x:v>46339</x:v>
      </x:c>
      <x:c r="F107" s="838" t="n">
        <x:v>46339</x:v>
      </x:c>
      <x:c r="G107" s="824" t="n">
        <x:f>IF(OR(E107="",F107=""),"",IF(F107&lt;E107,"기간 확인",COUNTIFS($I$10:$BJ$10,"&gt;="&amp;E107,$I$10:$BJ$10,"&lt;="&amp;F107)))</x:f>
        <x:v>1</x:v>
      </x:c>
      <x:c r="H107" s="929" t="str">
        <x:f>IF(OR(NOT(ISNUMBER(E107)),NOT(ISNUMBER(F107)),F107&lt;E107),"날짜 확인",IF(TODAY()&lt;E107,"시작 전",IF(TODAY()&lt;=F107,"진행 중","완료")))</x:f>
        <x:v>시작 전</x:v>
      </x:c>
      <x:c r="I107" s="826"/>
      <x:c r="J107" s="826"/>
      <x:c r="K107" s="826"/>
      <x:c r="L107" s="826"/>
      <x:c r="M107" s="826"/>
      <x:c r="N107" s="826"/>
      <x:c r="O107" s="826"/>
      <x:c r="P107" s="826"/>
      <x:c r="Q107" s="826"/>
      <x:c r="R107" s="826"/>
      <x:c r="S107" s="826"/>
      <x:c r="T107" s="826"/>
      <x:c r="U107" s="826"/>
      <x:c r="V107" s="826"/>
      <x:c r="W107" s="826"/>
      <x:c r="X107" s="826"/>
      <x:c r="Y107" s="826"/>
      <x:c r="Z107" s="826"/>
      <x:c r="AA107" s="826"/>
      <x:c r="AB107" s="826"/>
      <x:c r="AC107" s="826"/>
      <x:c r="AD107" s="826"/>
      <x:c r="AE107" s="826"/>
      <x:c r="AF107" s="826"/>
      <x:c r="AG107" s="826"/>
      <x:c r="AH107" s="826"/>
      <x:c r="AI107" s="826"/>
      <x:c r="AJ107" s="826"/>
      <x:c r="AK107" s="826"/>
      <x:c r="AL107" s="826"/>
      <x:c r="AM107" s="826"/>
      <x:c r="AN107" s="826"/>
      <x:c r="AO107" s="826"/>
      <x:c r="AP107" s="826"/>
      <x:c r="AQ107" s="826"/>
      <x:c r="AR107" s="826"/>
      <x:c r="AS107" s="826"/>
      <x:c r="AT107" s="826"/>
      <x:c r="AU107" s="826"/>
      <x:c r="AV107" s="826"/>
      <x:c r="AW107" s="826"/>
      <x:c r="AX107" s="826"/>
      <x:c r="AY107" s="826"/>
      <x:c r="AZ107" s="826"/>
      <x:c r="BA107" s="826"/>
      <x:c r="BB107" s="826"/>
      <x:c r="BC107" s="826"/>
      <x:c r="BD107" s="826"/>
      <x:c r="BE107" s="826"/>
      <x:c r="BF107" s="826"/>
      <x:c r="BG107" s="826"/>
      <x:c r="BH107" s="826"/>
      <x:c r="BI107" s="826"/>
      <x:c r="BJ107" s="826"/>
    </x:row>
    <x:row r="108" ht="42" customHeight="1">
      <x:c r="A108" s="50"/>
      <x:c r="B108" s="820" t="str">
        <x:v>WBS-5.13</x:v>
      </x:c>
      <x:c r="C108" s="821" t="str">
        <x:f>'작업 상세'!C100</x:f>
        <x:v>검색 저장소 구축 결과서 제출</x:v>
      </x:c>
      <x:c r="D108" s="837" t="str">
        <x:v>최성욱</x:v>
      </x:c>
      <x:c r="E108" s="838" t="n">
        <x:v>46339</x:v>
      </x:c>
      <x:c r="F108" s="838" t="n">
        <x:v>46339</x:v>
      </x:c>
      <x:c r="G108" s="824" t="n">
        <x:f>IF(OR(E108="",F108=""),"",IF(F108&lt;E108,"기간 확인",COUNTIFS($I$10:$BJ$10,"&gt;="&amp;E108,$I$10:$BJ$10,"&lt;="&amp;F108)))</x:f>
        <x:v>1</x:v>
      </x:c>
      <x:c r="H108" s="929" t="str">
        <x:f>IF(OR(NOT(ISNUMBER(E108)),NOT(ISNUMBER(F108)),F108&lt;E108),"날짜 확인",IF(TODAY()&lt;E108,"시작 전",IF(TODAY()&lt;=F108,"진행 중","완료")))</x:f>
        <x:v>시작 전</x:v>
      </x:c>
      <x:c r="I108" s="826"/>
      <x:c r="J108" s="826"/>
      <x:c r="K108" s="826"/>
      <x:c r="L108" s="826"/>
      <x:c r="M108" s="826"/>
      <x:c r="N108" s="826"/>
      <x:c r="O108" s="826"/>
      <x:c r="P108" s="826"/>
      <x:c r="Q108" s="826"/>
      <x:c r="R108" s="826"/>
      <x:c r="S108" s="826"/>
      <x:c r="T108" s="826"/>
      <x:c r="U108" s="826"/>
      <x:c r="V108" s="826"/>
      <x:c r="W108" s="826"/>
      <x:c r="X108" s="826"/>
      <x:c r="Y108" s="826"/>
      <x:c r="Z108" s="826"/>
      <x:c r="AA108" s="826"/>
      <x:c r="AB108" s="826"/>
      <x:c r="AC108" s="826"/>
      <x:c r="AD108" s="826"/>
      <x:c r="AE108" s="826"/>
      <x:c r="AF108" s="826"/>
      <x:c r="AG108" s="826"/>
      <x:c r="AH108" s="826"/>
      <x:c r="AI108" s="826"/>
      <x:c r="AJ108" s="826"/>
      <x:c r="AK108" s="826"/>
      <x:c r="AL108" s="826"/>
      <x:c r="AM108" s="826"/>
      <x:c r="AN108" s="826"/>
      <x:c r="AO108" s="826"/>
      <x:c r="AP108" s="826"/>
      <x:c r="AQ108" s="826"/>
      <x:c r="AR108" s="826"/>
      <x:c r="AS108" s="826"/>
      <x:c r="AT108" s="826"/>
      <x:c r="AU108" s="826"/>
      <x:c r="AV108" s="826"/>
      <x:c r="AW108" s="826"/>
      <x:c r="AX108" s="826"/>
      <x:c r="AY108" s="826"/>
      <x:c r="AZ108" s="826"/>
      <x:c r="BA108" s="826"/>
      <x:c r="BB108" s="826"/>
      <x:c r="BC108" s="826"/>
      <x:c r="BD108" s="826"/>
      <x:c r="BE108" s="826"/>
      <x:c r="BF108" s="826"/>
      <x:c r="BG108" s="826"/>
      <x:c r="BH108" s="826"/>
      <x:c r="BI108" s="826"/>
      <x:c r="BJ108" s="826"/>
    </x:row>
    <x:row r="109" ht="42" customHeight="1">
      <x:c r="A109" s="50"/>
      <x:c r="B109" s="820" t="str">
        <x:v>WBS-5.14</x:v>
      </x:c>
      <x:c r="C109" s="821" t="str">
        <x:f>'작업 상세'!C101</x:f>
        <x:v>LLM 활용 소프트웨어 제출</x:v>
      </x:c>
      <x:c r="D109" s="837" t="str">
        <x:v>최성욱</x:v>
      </x:c>
      <x:c r="E109" s="838" t="n">
        <x:v>46346</x:v>
      </x:c>
      <x:c r="F109" s="838" t="n">
        <x:v>46346</x:v>
      </x:c>
      <x:c r="G109" s="824" t="n">
        <x:f>IF(OR(E109="",F109=""),"",IF(F109&lt;E109,"기간 확인",COUNTIFS($I$10:$BJ$10,"&gt;="&amp;E109,$I$10:$BJ$10,"&lt;="&amp;F109)))</x:f>
        <x:v>1</x:v>
      </x:c>
      <x:c r="H109" s="929" t="str">
        <x:f>IF(OR(NOT(ISNUMBER(E109)),NOT(ISNUMBER(F109)),F109&lt;E109),"날짜 확인",IF(TODAY()&lt;E109,"시작 전",IF(TODAY()&lt;=F109,"진행 중","완료")))</x:f>
        <x:v>시작 전</x:v>
      </x:c>
      <x:c r="I109" s="826"/>
      <x:c r="J109" s="826"/>
      <x:c r="K109" s="826"/>
      <x:c r="L109" s="826"/>
      <x:c r="M109" s="826"/>
      <x:c r="N109" s="826"/>
      <x:c r="O109" s="826"/>
      <x:c r="P109" s="826"/>
      <x:c r="Q109" s="826"/>
      <x:c r="R109" s="826"/>
      <x:c r="S109" s="826"/>
      <x:c r="T109" s="826"/>
      <x:c r="U109" s="826"/>
      <x:c r="V109" s="826"/>
      <x:c r="W109" s="826"/>
      <x:c r="X109" s="826"/>
      <x:c r="Y109" s="826"/>
      <x:c r="Z109" s="826"/>
      <x:c r="AA109" s="826"/>
      <x:c r="AB109" s="826"/>
      <x:c r="AC109" s="826"/>
      <x:c r="AD109" s="826"/>
      <x:c r="AE109" s="826"/>
      <x:c r="AF109" s="826"/>
      <x:c r="AG109" s="826"/>
      <x:c r="AH109" s="826"/>
      <x:c r="AI109" s="826"/>
      <x:c r="AJ109" s="826"/>
      <x:c r="AK109" s="826"/>
      <x:c r="AL109" s="826"/>
      <x:c r="AM109" s="826"/>
      <x:c r="AN109" s="826"/>
      <x:c r="AO109" s="826"/>
      <x:c r="AP109" s="826"/>
      <x:c r="AQ109" s="826"/>
      <x:c r="AR109" s="826"/>
      <x:c r="AS109" s="826"/>
      <x:c r="AT109" s="826"/>
      <x:c r="AU109" s="826"/>
      <x:c r="AV109" s="826"/>
      <x:c r="AW109" s="826"/>
      <x:c r="AX109" s="826"/>
      <x:c r="AY109" s="826"/>
      <x:c r="AZ109" s="826"/>
      <x:c r="BA109" s="826"/>
      <x:c r="BB109" s="826"/>
      <x:c r="BC109" s="826"/>
      <x:c r="BD109" s="826"/>
      <x:c r="BE109" s="826"/>
      <x:c r="BF109" s="826"/>
      <x:c r="BG109" s="826"/>
      <x:c r="BH109" s="826"/>
      <x:c r="BI109" s="826"/>
      <x:c r="BJ109" s="826"/>
    </x:row>
    <x:row r="110" ht="42" customHeight="1">
      <x:c r="A110" s="50"/>
      <x:c r="B110" s="820" t="str">
        <x:v>WBS-5.16</x:v>
      </x:c>
      <x:c r="C110" s="821" t="str">
        <x:f>'작업 상세'!C102</x:f>
        <x:v>에이전트 테스트 보고서 제출</x:v>
      </x:c>
      <x:c r="D110" s="837" t="str">
        <x:v>최성욱</x:v>
      </x:c>
      <x:c r="E110" s="838" t="n">
        <x:v>46353</x:v>
      </x:c>
      <x:c r="F110" s="838" t="n">
        <x:v>46353</x:v>
      </x:c>
      <x:c r="G110" s="824" t="n">
        <x:f>IF(OR(E110="",F110=""),"",IF(F110&lt;E110,"기간 확인",COUNTIFS($I$10:$BJ$10,"&gt;="&amp;E110,$I$10:$BJ$10,"&lt;="&amp;F110)))</x:f>
        <x:v>1</x:v>
      </x:c>
      <x:c r="H110" s="929" t="str">
        <x:f>IF(OR(NOT(ISNUMBER(E110)),NOT(ISNUMBER(F110)),F110&lt;E110),"날짜 확인",IF(TODAY()&lt;E110,"시작 전",IF(TODAY()&lt;=F110,"진행 중","완료")))</x:f>
        <x:v>시작 전</x:v>
      </x:c>
      <x:c r="I110" s="826"/>
      <x:c r="J110" s="826"/>
      <x:c r="K110" s="826"/>
      <x:c r="L110" s="826"/>
      <x:c r="M110" s="826"/>
      <x:c r="N110" s="826"/>
      <x:c r="O110" s="826"/>
      <x:c r="P110" s="826"/>
      <x:c r="Q110" s="826"/>
      <x:c r="R110" s="826"/>
      <x:c r="S110" s="826"/>
      <x:c r="T110" s="826"/>
      <x:c r="U110" s="826"/>
      <x:c r="V110" s="826"/>
      <x:c r="W110" s="826"/>
      <x:c r="X110" s="826"/>
      <x:c r="Y110" s="826"/>
      <x:c r="Z110" s="826"/>
      <x:c r="AA110" s="826"/>
      <x:c r="AB110" s="826"/>
      <x:c r="AC110" s="826"/>
      <x:c r="AD110" s="826"/>
      <x:c r="AE110" s="826"/>
      <x:c r="AF110" s="826"/>
      <x:c r="AG110" s="826"/>
      <x:c r="AH110" s="826"/>
      <x:c r="AI110" s="826"/>
      <x:c r="AJ110" s="826"/>
      <x:c r="AK110" s="826"/>
      <x:c r="AL110" s="826"/>
      <x:c r="AM110" s="826"/>
      <x:c r="AN110" s="826"/>
      <x:c r="AO110" s="826"/>
      <x:c r="AP110" s="826"/>
      <x:c r="AQ110" s="826"/>
      <x:c r="AR110" s="826"/>
      <x:c r="AS110" s="826"/>
      <x:c r="AT110" s="826"/>
      <x:c r="AU110" s="826"/>
      <x:c r="AV110" s="826"/>
      <x:c r="AW110" s="826"/>
      <x:c r="AX110" s="826"/>
      <x:c r="AY110" s="826"/>
      <x:c r="AZ110" s="826"/>
      <x:c r="BA110" s="826"/>
      <x:c r="BB110" s="826"/>
      <x:c r="BC110" s="826"/>
      <x:c r="BD110" s="826"/>
      <x:c r="BE110" s="826"/>
      <x:c r="BF110" s="826"/>
      <x:c r="BG110" s="826"/>
      <x:c r="BH110" s="826"/>
      <x:c r="BI110" s="826"/>
      <x:c r="BJ110" s="826"/>
    </x:row>
    <x:row r="111" ht="42" customHeight="1">
      <x:c r="A111" s="50"/>
      <x:c r="B111" s="820" t="str">
        <x:v>WBS-5.17</x:v>
      </x:c>
      <x:c r="C111" s="821" t="str">
        <x:f>'작업 상세'!C103</x:f>
        <x:v>서비스 테스트 보고서 제출</x:v>
      </x:c>
      <x:c r="D111" s="837" t="str">
        <x:v>김태윤</x:v>
      </x:c>
      <x:c r="E111" s="838" t="n">
        <x:v>46360</x:v>
      </x:c>
      <x:c r="F111" s="838" t="n">
        <x:v>46360</x:v>
      </x:c>
      <x:c r="G111" s="824" t="n">
        <x:f>IF(OR(E111="",F111=""),"",IF(F111&lt;E111,"기간 확인",COUNTIFS($I$10:$BJ$10,"&gt;="&amp;E111,$I$10:$BJ$10,"&lt;="&amp;F111)))</x:f>
        <x:v>1</x:v>
      </x:c>
      <x:c r="H111" s="929" t="str">
        <x:f>IF(OR(NOT(ISNUMBER(E111)),NOT(ISNUMBER(F111)),F111&lt;E111),"날짜 확인",IF(TODAY()&lt;E111,"시작 전",IF(TODAY()&lt;=F111,"진행 중","완료")))</x:f>
        <x:v>시작 전</x:v>
      </x:c>
      <x:c r="I111" s="826"/>
      <x:c r="J111" s="826"/>
      <x:c r="K111" s="826"/>
      <x:c r="L111" s="826"/>
      <x:c r="M111" s="826"/>
      <x:c r="N111" s="826"/>
      <x:c r="O111" s="826"/>
      <x:c r="P111" s="826"/>
      <x:c r="Q111" s="826"/>
      <x:c r="R111" s="826"/>
      <x:c r="S111" s="826"/>
      <x:c r="T111" s="826"/>
      <x:c r="U111" s="826"/>
      <x:c r="V111" s="826"/>
      <x:c r="W111" s="826"/>
      <x:c r="X111" s="826"/>
      <x:c r="Y111" s="826"/>
      <x:c r="Z111" s="826"/>
      <x:c r="AA111" s="826"/>
      <x:c r="AB111" s="826"/>
      <x:c r="AC111" s="826"/>
      <x:c r="AD111" s="826"/>
      <x:c r="AE111" s="826"/>
      <x:c r="AF111" s="826"/>
      <x:c r="AG111" s="826"/>
      <x:c r="AH111" s="826"/>
      <x:c r="AI111" s="826"/>
      <x:c r="AJ111" s="826"/>
      <x:c r="AK111" s="826"/>
      <x:c r="AL111" s="826"/>
      <x:c r="AM111" s="826"/>
      <x:c r="AN111" s="826"/>
      <x:c r="AO111" s="826"/>
      <x:c r="AP111" s="826"/>
      <x:c r="AQ111" s="826"/>
      <x:c r="AR111" s="826"/>
      <x:c r="AS111" s="826"/>
      <x:c r="AT111" s="826"/>
      <x:c r="AU111" s="826"/>
      <x:c r="AV111" s="826"/>
      <x:c r="AW111" s="826"/>
      <x:c r="AX111" s="826"/>
      <x:c r="AY111" s="826"/>
      <x:c r="AZ111" s="826"/>
      <x:c r="BA111" s="826"/>
      <x:c r="BB111" s="826"/>
      <x:c r="BC111" s="826"/>
      <x:c r="BD111" s="826"/>
      <x:c r="BE111" s="826"/>
      <x:c r="BF111" s="826"/>
      <x:c r="BG111" s="826"/>
      <x:c r="BH111" s="826"/>
      <x:c r="BI111" s="826"/>
      <x:c r="BJ111" s="826"/>
    </x:row>
    <x:row r="112" ht="42" customHeight="1">
      <x:c r="A112" s="50"/>
      <x:c r="B112" s="820" t="str">
        <x:v>WBS-5.19</x:v>
      </x:c>
      <x:c r="C112" s="821" t="str">
        <x:f>'작업 상세'!C104</x:f>
        <x:v>최종 발표자료 확정·제출·발표</x:v>
      </x:c>
      <x:c r="D112" s="837" t="str">
        <x:v>김태윤</x:v>
      </x:c>
      <x:c r="E112" s="838" t="n">
        <x:v>46363</x:v>
      </x:c>
      <x:c r="F112" s="838" t="n">
        <x:v>46364</x:v>
      </x:c>
      <x:c r="G112" s="824" t="n">
        <x:f>IF(OR(E112="",F112=""),"",IF(F112&lt;E112,"기간 확인",COUNTIFS($I$10:$BJ$10,"&gt;="&amp;E112,$I$10:$BJ$10,"&lt;="&amp;F112)))</x:f>
        <x:v>2</x:v>
      </x:c>
      <x:c r="H112" s="929" t="str">
        <x:f>IF(OR(NOT(ISNUMBER(E112)),NOT(ISNUMBER(F112)),F112&lt;E112),"날짜 확인",IF(TODAY()&lt;E112,"시작 전",IF(TODAY()&lt;=F112,"진행 중","완료")))</x:f>
        <x:v>시작 전</x:v>
      </x:c>
      <x:c r="I112" s="826"/>
      <x:c r="J112" s="826"/>
      <x:c r="K112" s="826"/>
      <x:c r="L112" s="826"/>
      <x:c r="M112" s="826"/>
      <x:c r="N112" s="826"/>
      <x:c r="O112" s="826"/>
      <x:c r="P112" s="826"/>
      <x:c r="Q112" s="826"/>
      <x:c r="R112" s="826"/>
      <x:c r="S112" s="826"/>
      <x:c r="T112" s="826"/>
      <x:c r="U112" s="826"/>
      <x:c r="V112" s="826"/>
      <x:c r="W112" s="826"/>
      <x:c r="X112" s="826"/>
      <x:c r="Y112" s="826"/>
      <x:c r="Z112" s="826"/>
      <x:c r="AA112" s="826"/>
      <x:c r="AB112" s="826"/>
      <x:c r="AC112" s="826"/>
      <x:c r="AD112" s="826"/>
      <x:c r="AE112" s="826"/>
      <x:c r="AF112" s="826"/>
      <x:c r="AG112" s="826"/>
      <x:c r="AH112" s="826"/>
      <x:c r="AI112" s="826"/>
      <x:c r="AJ112" s="826"/>
      <x:c r="AK112" s="826"/>
      <x:c r="AL112" s="826"/>
      <x:c r="AM112" s="826"/>
      <x:c r="AN112" s="826"/>
      <x:c r="AO112" s="826"/>
      <x:c r="AP112" s="826"/>
      <x:c r="AQ112" s="826"/>
      <x:c r="AR112" s="826"/>
      <x:c r="AS112" s="826"/>
      <x:c r="AT112" s="826"/>
      <x:c r="AU112" s="826"/>
      <x:c r="AV112" s="826"/>
      <x:c r="AW112" s="826"/>
      <x:c r="AX112" s="826"/>
      <x:c r="AY112" s="826"/>
      <x:c r="AZ112" s="826"/>
      <x:c r="BA112" s="826"/>
      <x:c r="BB112" s="826"/>
      <x:c r="BC112" s="826"/>
      <x:c r="BD112" s="826"/>
      <x:c r="BE112" s="826"/>
      <x:c r="BF112" s="826"/>
      <x:c r="BG112" s="826"/>
      <x:c r="BH112" s="826"/>
      <x:c r="BI112" s="826"/>
      <x:c r="BJ112" s="826"/>
    </x:row>
    <x:row r="113" ht="42" customHeight="1">
      <x:c r="A113" s="50"/>
      <x:c r="B113" s="820" t="str">
        <x:v>WBS-5.21</x:v>
      </x:c>
      <x:c r="C113" s="821" t="str">
        <x:f>'작업 상세'!C105</x:f>
        <x:v>시연영상 촬영·확정·제출</x:v>
      </x:c>
      <x:c r="D113" s="837" t="str">
        <x:v>김태윤</x:v>
      </x:c>
      <x:c r="E113" s="838" t="n">
        <x:v>46363</x:v>
      </x:c>
      <x:c r="F113" s="838" t="n">
        <x:v>46364</x:v>
      </x:c>
      <x:c r="G113" s="824" t="n">
        <x:f>IF(OR(E113="",F113=""),"",IF(F113&lt;E113,"기간 확인",COUNTIFS($I$10:$BJ$10,"&gt;="&amp;E113,$I$10:$BJ$10,"&lt;="&amp;F113)))</x:f>
        <x:v>2</x:v>
      </x:c>
      <x:c r="H113" s="929" t="str">
        <x:f>IF(OR(NOT(ISNUMBER(E113)),NOT(ISNUMBER(F113)),F113&lt;E113),"날짜 확인",IF(TODAY()&lt;E113,"시작 전",IF(TODAY()&lt;=F113,"진행 중","완료")))</x:f>
        <x:v>시작 전</x:v>
      </x:c>
      <x:c r="I113" s="826"/>
      <x:c r="J113" s="826"/>
      <x:c r="K113" s="826"/>
      <x:c r="L113" s="826"/>
      <x:c r="M113" s="826"/>
      <x:c r="N113" s="826"/>
      <x:c r="O113" s="826"/>
      <x:c r="P113" s="826"/>
      <x:c r="Q113" s="826"/>
      <x:c r="R113" s="826"/>
      <x:c r="S113" s="826"/>
      <x:c r="T113" s="826"/>
      <x:c r="U113" s="826"/>
      <x:c r="V113" s="826"/>
      <x:c r="W113" s="826"/>
      <x:c r="X113" s="826"/>
      <x:c r="Y113" s="826"/>
      <x:c r="Z113" s="826"/>
      <x:c r="AA113" s="826"/>
      <x:c r="AB113" s="826"/>
      <x:c r="AC113" s="826"/>
      <x:c r="AD113" s="826"/>
      <x:c r="AE113" s="826"/>
      <x:c r="AF113" s="826"/>
      <x:c r="AG113" s="826"/>
      <x:c r="AH113" s="826"/>
      <x:c r="AI113" s="826"/>
      <x:c r="AJ113" s="826"/>
      <x:c r="AK113" s="826"/>
      <x:c r="AL113" s="826"/>
      <x:c r="AM113" s="826"/>
      <x:c r="AN113" s="826"/>
      <x:c r="AO113" s="826"/>
      <x:c r="AP113" s="826"/>
      <x:c r="AQ113" s="826"/>
      <x:c r="AR113" s="826"/>
      <x:c r="AS113" s="826"/>
      <x:c r="AT113" s="826"/>
      <x:c r="AU113" s="826"/>
      <x:c r="AV113" s="826"/>
      <x:c r="AW113" s="826"/>
      <x:c r="AX113" s="826"/>
      <x:c r="AY113" s="826"/>
      <x:c r="AZ113" s="826"/>
      <x:c r="BA113" s="826"/>
      <x:c r="BB113" s="826"/>
      <x:c r="BC113" s="826"/>
      <x:c r="BD113" s="826"/>
      <x:c r="BE113" s="826"/>
      <x:c r="BF113" s="826"/>
      <x:c r="BG113" s="826"/>
      <x:c r="BH113" s="826"/>
      <x:c r="BI113" s="826"/>
      <x:c r="BJ113" s="826"/>
    </x:row>
    <x:row r="114" ht="42" customHeight="1">
      <x:c r="A114" s="50"/>
      <x:c r="B114" s="822" t="str">
        <x:v>WBS-5.18</x:v>
      </x:c>
      <x:c r="C114" s="822" t="str">
        <x:f>'작업 상세'!C106</x:f>
        <x:v>LLM 연동 웹 애플리케이션 제출</x:v>
      </x:c>
      <x:c r="D114" s="837" t="str">
        <x:v>최인영</x:v>
      </x:c>
      <x:c r="E114" s="838" t="n">
        <x:v>46364</x:v>
      </x:c>
      <x:c r="F114" s="838" t="n">
        <x:v>46364</x:v>
      </x:c>
      <x:c r="G114" s="822" t="n">
        <x:f>IF(OR(E114="",F114=""),"",IF(F114&lt;E114,"기간 확인",COUNTIFS($I$10:$BJ$10,"&gt;="&amp;E114,$I$10:$BJ$10,"&lt;="&amp;F114)))</x:f>
        <x:v>1</x:v>
      </x:c>
      <x:c r="H114" s="929" t="str">
        <x:f>IF(OR(NOT(ISNUMBER(E114)),NOT(ISNUMBER(F114)),F114&lt;E114),"날짜 확인",IF(TODAY()&lt;E114,"시작 전",IF(TODAY()&lt;=F114,"진행 중","완료")))</x:f>
        <x:v>시작 전</x:v>
      </x:c>
      <x:c r="I114" s="826"/>
      <x:c r="J114" s="826"/>
      <x:c r="K114" s="826"/>
      <x:c r="L114" s="826"/>
      <x:c r="M114" s="826"/>
      <x:c r="N114" s="826"/>
      <x:c r="O114" s="826"/>
      <x:c r="P114" s="826"/>
      <x:c r="Q114" s="826"/>
      <x:c r="R114" s="826"/>
      <x:c r="S114" s="826"/>
      <x:c r="T114" s="826"/>
      <x:c r="U114" s="826"/>
      <x:c r="V114" s="826"/>
      <x:c r="W114" s="826"/>
      <x:c r="X114" s="826"/>
      <x:c r="Y114" s="826"/>
      <x:c r="Z114" s="826"/>
      <x:c r="AA114" s="826"/>
      <x:c r="AB114" s="826"/>
      <x:c r="AC114" s="826"/>
      <x:c r="AD114" s="826"/>
      <x:c r="AE114" s="826"/>
      <x:c r="AF114" s="826"/>
      <x:c r="AG114" s="826"/>
      <x:c r="AH114" s="826"/>
      <x:c r="AI114" s="826"/>
      <x:c r="AJ114" s="826"/>
      <x:c r="AK114" s="826"/>
      <x:c r="AL114" s="826"/>
      <x:c r="AM114" s="826"/>
      <x:c r="AN114" s="826"/>
      <x:c r="AO114" s="826"/>
      <x:c r="AP114" s="826"/>
      <x:c r="AQ114" s="826"/>
      <x:c r="AR114" s="826"/>
      <x:c r="AS114" s="826"/>
      <x:c r="AT114" s="826"/>
      <x:c r="AU114" s="826"/>
      <x:c r="AV114" s="826"/>
      <x:c r="AW114" s="826"/>
      <x:c r="AX114" s="826"/>
      <x:c r="AY114" s="826"/>
      <x:c r="AZ114" s="826"/>
      <x:c r="BA114" s="826"/>
      <x:c r="BB114" s="826"/>
      <x:c r="BC114" s="826"/>
      <x:c r="BD114" s="826"/>
      <x:c r="BE114" s="826"/>
      <x:c r="BF114" s="826"/>
      <x:c r="BG114" s="826"/>
      <x:c r="BH114" s="826"/>
      <x:c r="BI114" s="826"/>
      <x:c r="BJ114" s="826"/>
    </x:row>
    <x:row r="115" ht="42" customHeight="1">
      <x:c r="A115" s="50"/>
      <x:c r="B115" s="820" t="str">
        <x:v>WBS-5.20</x:v>
      </x:c>
      <x:c r="C115" s="821" t="str">
        <x:f>'작업 상세'!C107</x:f>
        <x:v>프로젝트 개발 소스코드 제출</x:v>
      </x:c>
      <x:c r="D115" s="837" t="str">
        <x:v>최인영</x:v>
      </x:c>
      <x:c r="E115" s="838" t="n">
        <x:v>46364</x:v>
      </x:c>
      <x:c r="F115" s="838" t="n">
        <x:v>46364</x:v>
      </x:c>
      <x:c r="G115" s="824" t="n">
        <x:f>IF(OR(E115="",F115=""),"",IF(F115&lt;E115,"기간 확인",COUNTIFS($I$10:$BJ$10,"&gt;="&amp;E115,$I$10:$BJ$10,"&lt;="&amp;F115)))</x:f>
        <x:v>1</x:v>
      </x:c>
      <x:c r="H115" s="929" t="str">
        <x:f>IF(OR(NOT(ISNUMBER(E115)),NOT(ISNUMBER(F115)),F115&lt;E115),"날짜 확인",IF(TODAY()&lt;E115,"시작 전",IF(TODAY()&lt;=F115,"진행 중","완료")))</x:f>
        <x:v>시작 전</x:v>
      </x:c>
      <x:c r="I115" s="826"/>
      <x:c r="J115" s="826"/>
      <x:c r="K115" s="826"/>
      <x:c r="L115" s="826"/>
      <x:c r="M115" s="826"/>
      <x:c r="N115" s="826"/>
      <x:c r="O115" s="826"/>
      <x:c r="P115" s="826"/>
      <x:c r="Q115" s="826"/>
      <x:c r="R115" s="826"/>
      <x:c r="S115" s="826"/>
      <x:c r="T115" s="826"/>
      <x:c r="U115" s="826"/>
      <x:c r="V115" s="826"/>
      <x:c r="W115" s="826"/>
      <x:c r="X115" s="826"/>
      <x:c r="Y115" s="826"/>
      <x:c r="Z115" s="826"/>
      <x:c r="AA115" s="826"/>
      <x:c r="AB115" s="826"/>
      <x:c r="AC115" s="826"/>
      <x:c r="AD115" s="826"/>
      <x:c r="AE115" s="826"/>
      <x:c r="AF115" s="826"/>
      <x:c r="AG115" s="826"/>
      <x:c r="AH115" s="826"/>
      <x:c r="AI115" s="826"/>
      <x:c r="AJ115" s="826"/>
      <x:c r="AK115" s="826"/>
      <x:c r="AL115" s="826"/>
      <x:c r="AM115" s="826"/>
      <x:c r="AN115" s="826"/>
      <x:c r="AO115" s="826"/>
      <x:c r="AP115" s="826"/>
      <x:c r="AQ115" s="826"/>
      <x:c r="AR115" s="826"/>
      <x:c r="AS115" s="826"/>
      <x:c r="AT115" s="826"/>
      <x:c r="AU115" s="826"/>
      <x:c r="AV115" s="826"/>
      <x:c r="AW115" s="826"/>
      <x:c r="AX115" s="826"/>
      <x:c r="AY115" s="826"/>
      <x:c r="AZ115" s="826"/>
      <x:c r="BA115" s="826"/>
      <x:c r="BB115" s="826"/>
      <x:c r="BC115" s="826"/>
      <x:c r="BD115" s="826"/>
      <x:c r="BE115" s="826"/>
      <x:c r="BF115" s="826"/>
      <x:c r="BG115" s="826"/>
      <x:c r="BH115" s="826"/>
      <x:c r="BI115" s="826"/>
      <x:c r="BJ115" s="826"/>
    </x:row>
    <x:row r="116" ht="42" customHeight="1">
      <x:c r="A116" s="50"/>
      <x:c r="B116" s="820"/>
      <x:c r="C116" s="821"/>
      <x:c r="D116" s="837"/>
      <x:c r="E116" s="838"/>
      <x:c r="F116" s="838"/>
      <x:c r="G116" s="824"/>
      <x:c r="H116" s="929"/>
      <x:c r="I116" s="826"/>
      <x:c r="J116" s="826"/>
      <x:c r="K116" s="826"/>
      <x:c r="L116" s="826"/>
      <x:c r="M116" s="826"/>
      <x:c r="N116" s="826"/>
      <x:c r="O116" s="826"/>
      <x:c r="P116" s="826"/>
      <x:c r="Q116" s="826"/>
      <x:c r="R116" s="826"/>
      <x:c r="S116" s="826"/>
      <x:c r="T116" s="826"/>
      <x:c r="U116" s="826"/>
      <x:c r="V116" s="826"/>
      <x:c r="W116" s="826"/>
      <x:c r="X116" s="826"/>
      <x:c r="Y116" s="826"/>
      <x:c r="Z116" s="826"/>
      <x:c r="AA116" s="826"/>
      <x:c r="AB116" s="826"/>
      <x:c r="AC116" s="826"/>
      <x:c r="AD116" s="826"/>
      <x:c r="AE116" s="826"/>
      <x:c r="AF116" s="826"/>
      <x:c r="AG116" s="826"/>
      <x:c r="AH116" s="826"/>
      <x:c r="AI116" s="826"/>
      <x:c r="AJ116" s="826"/>
      <x:c r="AK116" s="826"/>
      <x:c r="AL116" s="826"/>
      <x:c r="AM116" s="826"/>
      <x:c r="AN116" s="826"/>
      <x:c r="AO116" s="826"/>
      <x:c r="AP116" s="826"/>
      <x:c r="AQ116" s="826"/>
      <x:c r="AR116" s="826"/>
      <x:c r="AS116" s="826"/>
      <x:c r="AT116" s="826"/>
      <x:c r="AU116" s="826"/>
      <x:c r="AV116" s="826"/>
      <x:c r="AW116" s="826"/>
      <x:c r="AX116" s="826"/>
      <x:c r="AY116" s="826"/>
      <x:c r="AZ116" s="826"/>
      <x:c r="BA116" s="826"/>
      <x:c r="BB116" s="826"/>
      <x:c r="BC116" s="826"/>
      <x:c r="BD116" s="826"/>
      <x:c r="BE116" s="826"/>
      <x:c r="BF116" s="826"/>
      <x:c r="BG116" s="826"/>
      <x:c r="BH116" s="826"/>
      <x:c r="BI116" s="826"/>
      <x:c r="BJ116" s="826"/>
    </x:row>
    <x:row r="117" ht="28" customHeight="1">
      <x:c r="A117" s="50"/>
      <x:c r="B117" s="896" t="str">
        <x:v>보류·확장 7개 — 실행범위 100개·단계별 일정 집계에서 제외</x:v>
      </x:c>
      <x:c r="C117" s="897"/>
      <x:c r="D117" s="898"/>
      <x:c r="E117" s="899"/>
      <x:c r="F117" s="899"/>
      <x:c r="G117" s="900"/>
      <x:c r="H117" s="931"/>
      <x:c r="I117" s="902"/>
      <x:c r="J117" s="902"/>
      <x:c r="K117" s="902"/>
      <x:c r="L117" s="902"/>
      <x:c r="M117" s="902"/>
      <x:c r="N117" s="902"/>
      <x:c r="O117" s="902"/>
      <x:c r="P117" s="902"/>
      <x:c r="Q117" s="902"/>
      <x:c r="R117" s="902"/>
      <x:c r="S117" s="902"/>
      <x:c r="T117" s="902"/>
      <x:c r="U117" s="902"/>
      <x:c r="V117" s="902"/>
      <x:c r="W117" s="902"/>
      <x:c r="X117" s="902"/>
      <x:c r="Y117" s="902"/>
      <x:c r="Z117" s="902"/>
      <x:c r="AA117" s="902"/>
      <x:c r="AB117" s="902"/>
      <x:c r="AC117" s="902"/>
      <x:c r="AD117" s="902"/>
      <x:c r="AE117" s="902"/>
      <x:c r="AF117" s="902"/>
      <x:c r="AG117" s="902"/>
      <x:c r="AH117" s="902"/>
      <x:c r="AI117" s="902"/>
      <x:c r="AJ117" s="902"/>
      <x:c r="AK117" s="902"/>
      <x:c r="AL117" s="902"/>
      <x:c r="AM117" s="902"/>
      <x:c r="AN117" s="902"/>
      <x:c r="AO117" s="902"/>
      <x:c r="AP117" s="902"/>
      <x:c r="AQ117" s="902"/>
      <x:c r="AR117" s="902"/>
      <x:c r="AS117" s="902"/>
      <x:c r="AT117" s="902"/>
      <x:c r="AU117" s="902"/>
      <x:c r="AV117" s="902"/>
      <x:c r="AW117" s="902"/>
      <x:c r="AX117" s="902"/>
      <x:c r="AY117" s="902"/>
      <x:c r="AZ117" s="902"/>
      <x:c r="BA117" s="902"/>
      <x:c r="BB117" s="902"/>
      <x:c r="BC117" s="902"/>
      <x:c r="BD117" s="902"/>
      <x:c r="BE117" s="902"/>
      <x:c r="BF117" s="902"/>
      <x:c r="BG117" s="902"/>
      <x:c r="BH117" s="902"/>
      <x:c r="BI117" s="902"/>
      <x:c r="BJ117" s="902"/>
    </x:row>
    <x:row r="118" ht="42" customHeight="1">
      <x:c r="A118" s="50"/>
      <x:c r="B118" s="23" t="s">
        <x:v>10</x:v>
      </x:c>
      <x:c r="C118" s="23" t="s">
        <x:v>11</x:v>
      </x:c>
      <x:c r="D118" s="23" t="s">
        <x:v>12</x:v>
      </x:c>
      <x:c r="E118" s="23" t="s">
        <x:v>13</x:v>
      </x:c>
      <x:c r="F118" s="23" t="s">
        <x:v>14</x:v>
      </x:c>
      <x:c r="G118" s="23" t="s">
        <x:v>15</x:v>
      </x:c>
      <x:c r="H118" s="932" t="str">
        <x:v>작업 상태</x:v>
      </x:c>
      <x:c r="I118" s="902"/>
      <x:c r="J118" s="902"/>
      <x:c r="K118" s="902"/>
      <x:c r="L118" s="902"/>
      <x:c r="M118" s="902"/>
      <x:c r="N118" s="902"/>
      <x:c r="O118" s="902"/>
      <x:c r="P118" s="902"/>
      <x:c r="Q118" s="902"/>
      <x:c r="R118" s="902"/>
      <x:c r="S118" s="902"/>
      <x:c r="T118" s="902"/>
      <x:c r="U118" s="902"/>
      <x:c r="V118" s="902"/>
      <x:c r="W118" s="902"/>
      <x:c r="X118" s="902"/>
      <x:c r="Y118" s="902"/>
      <x:c r="Z118" s="902"/>
      <x:c r="AA118" s="902"/>
      <x:c r="AB118" s="902"/>
      <x:c r="AC118" s="902"/>
      <x:c r="AD118" s="902"/>
      <x:c r="AE118" s="902"/>
      <x:c r="AF118" s="902"/>
      <x:c r="AG118" s="902"/>
      <x:c r="AH118" s="902"/>
      <x:c r="AI118" s="902"/>
      <x:c r="AJ118" s="902"/>
      <x:c r="AK118" s="902"/>
      <x:c r="AL118" s="902"/>
      <x:c r="AM118" s="902"/>
      <x:c r="AN118" s="902"/>
      <x:c r="AO118" s="902"/>
      <x:c r="AP118" s="902"/>
      <x:c r="AQ118" s="902"/>
      <x:c r="AR118" s="902"/>
      <x:c r="AS118" s="902"/>
      <x:c r="AT118" s="902"/>
      <x:c r="AU118" s="902"/>
      <x:c r="AV118" s="902"/>
      <x:c r="AW118" s="902"/>
      <x:c r="AX118" s="902"/>
      <x:c r="AY118" s="902"/>
      <x:c r="AZ118" s="902"/>
      <x:c r="BA118" s="902"/>
      <x:c r="BB118" s="902"/>
      <x:c r="BC118" s="902"/>
      <x:c r="BD118" s="902"/>
      <x:c r="BE118" s="902"/>
      <x:c r="BF118" s="902"/>
      <x:c r="BG118" s="902"/>
      <x:c r="BH118" s="902"/>
      <x:c r="BI118" s="902"/>
      <x:c r="BJ118" s="902"/>
    </x:row>
    <x:row r="119" ht="42" customHeight="1">
      <x:c r="A119" s="50"/>
      <x:c r="B119" s="868" t="str">
        <x:v>WBS-2.8</x:v>
      </x:c>
      <x:c r="C119" s="869" t="str">
        <x:f>'작업 상세'!C111</x:f>
        <x:v>[확장] PG 테스트·구독 연동 설계</x:v>
      </x:c>
      <x:c r="D119" s="870" t="str">
        <x:v>최인영</x:v>
      </x:c>
      <x:c r="E119" s="871"/>
      <x:c r="F119" s="871"/>
      <x:c r="G119" s="872" t="str">
        <x:f>IF(OR(E119="",F119=""),"",IF(F119&lt;E119,"기간 확인",COUNTIFS($I$10:$BJ$10,"&gt;="&amp;E119,$I$10:$BJ$10,"&lt;="&amp;F119)))</x:f>
      </x:c>
      <x:c r="H119" s="933" t="str">
        <x:v>보류</x:v>
      </x:c>
      <x:c r="I119" s="902"/>
      <x:c r="J119" s="902"/>
      <x:c r="K119" s="902"/>
      <x:c r="L119" s="902"/>
      <x:c r="M119" s="902"/>
      <x:c r="N119" s="902"/>
      <x:c r="O119" s="902"/>
      <x:c r="P119" s="902"/>
      <x:c r="Q119" s="902"/>
      <x:c r="R119" s="902"/>
      <x:c r="S119" s="902"/>
      <x:c r="T119" s="902"/>
      <x:c r="U119" s="902"/>
      <x:c r="V119" s="902"/>
      <x:c r="W119" s="902"/>
      <x:c r="X119" s="902"/>
      <x:c r="Y119" s="902"/>
      <x:c r="Z119" s="902"/>
      <x:c r="AA119" s="902"/>
      <x:c r="AB119" s="902"/>
      <x:c r="AC119" s="902"/>
      <x:c r="AD119" s="902"/>
      <x:c r="AE119" s="902"/>
      <x:c r="AF119" s="902"/>
      <x:c r="AG119" s="902"/>
      <x:c r="AH119" s="902"/>
      <x:c r="AI119" s="902"/>
      <x:c r="AJ119" s="902"/>
      <x:c r="AK119" s="902"/>
      <x:c r="AL119" s="902"/>
      <x:c r="AM119" s="902"/>
      <x:c r="AN119" s="902"/>
      <x:c r="AO119" s="902"/>
      <x:c r="AP119" s="902"/>
      <x:c r="AQ119" s="902"/>
      <x:c r="AR119" s="902"/>
      <x:c r="AS119" s="902"/>
      <x:c r="AT119" s="902"/>
      <x:c r="AU119" s="902"/>
      <x:c r="AV119" s="902"/>
      <x:c r="AW119" s="902"/>
      <x:c r="AX119" s="902"/>
      <x:c r="AY119" s="902"/>
      <x:c r="AZ119" s="902"/>
      <x:c r="BA119" s="902"/>
      <x:c r="BB119" s="902"/>
      <x:c r="BC119" s="902"/>
      <x:c r="BD119" s="902"/>
      <x:c r="BE119" s="902"/>
      <x:c r="BF119" s="902"/>
      <x:c r="BG119" s="902"/>
      <x:c r="BH119" s="902"/>
      <x:c r="BI119" s="902"/>
      <x:c r="BJ119" s="902"/>
    </x:row>
    <x:row r="120" ht="42" customHeight="1">
      <x:c r="A120" s="50"/>
      <x:c r="B120" s="875" t="str">
        <x:v>WBS-3.22</x:v>
      </x:c>
      <x:c r="C120" s="869" t="str">
        <x:f>'작업 상세'!C112</x:f>
        <x:v>[확장] PG 테스트 결제·승인 구현</x:v>
      </x:c>
      <x:c r="D120" s="876" t="str">
        <x:v>최인영</x:v>
      </x:c>
      <x:c r="E120" s="877"/>
      <x:c r="F120" s="877"/>
      <x:c r="G120" s="875" t="str">
        <x:f>IF(OR(E120="",F120=""),"",IF(F120&lt;E120,"기간 확인",COUNTIFS($I$10:$BJ$10,"&gt;="&amp;E120,$I$10:$BJ$10,"&lt;="&amp;F120)))</x:f>
      </x:c>
      <x:c r="H120" s="936" t="str">
        <x:v>보류</x:v>
      </x:c>
      <x:c r="I120" s="903"/>
      <x:c r="J120" s="903"/>
      <x:c r="K120" s="903"/>
      <x:c r="L120" s="903"/>
      <x:c r="M120" s="903"/>
      <x:c r="N120" s="903"/>
      <x:c r="O120" s="903"/>
      <x:c r="P120" s="903"/>
      <x:c r="Q120" s="903"/>
      <x:c r="R120" s="903"/>
      <x:c r="S120" s="903"/>
      <x:c r="T120" s="903"/>
      <x:c r="U120" s="903"/>
      <x:c r="V120" s="903"/>
      <x:c r="W120" s="903"/>
      <x:c r="X120" s="903"/>
      <x:c r="Y120" s="903"/>
      <x:c r="Z120" s="903"/>
      <x:c r="AA120" s="903"/>
      <x:c r="AB120" s="903"/>
      <x:c r="AC120" s="903"/>
      <x:c r="AD120" s="903"/>
      <x:c r="AE120" s="903"/>
      <x:c r="AF120" s="903"/>
      <x:c r="AG120" s="903"/>
      <x:c r="AH120" s="903"/>
      <x:c r="AI120" s="903"/>
      <x:c r="AJ120" s="903"/>
      <x:c r="AK120" s="903"/>
      <x:c r="AL120" s="903"/>
      <x:c r="AM120" s="903"/>
      <x:c r="AN120" s="903"/>
      <x:c r="AO120" s="903"/>
      <x:c r="AP120" s="903"/>
      <x:c r="AQ120" s="903"/>
      <x:c r="AR120" s="903"/>
      <x:c r="AS120" s="903"/>
      <x:c r="AT120" s="903"/>
      <x:c r="AU120" s="903"/>
      <x:c r="AV120" s="903"/>
      <x:c r="AW120" s="904"/>
      <x:c r="AX120" s="904"/>
      <x:c r="AY120" s="904"/>
      <x:c r="AZ120" s="904"/>
      <x:c r="BA120" s="904"/>
      <x:c r="BB120" s="904"/>
      <x:c r="BC120" s="904"/>
      <x:c r="BD120" s="904"/>
      <x:c r="BE120" s="904"/>
      <x:c r="BF120" s="904"/>
      <x:c r="BG120" s="904"/>
      <x:c r="BH120" s="904"/>
      <x:c r="BI120" s="904"/>
      <x:c r="BJ120" s="904"/>
    </x:row>
    <x:row r="121" ht="42" customHeight="1">
      <x:c r="A121" s="50"/>
      <x:c r="B121" s="875" t="str">
        <x:v>WBS-3.23</x:v>
      </x:c>
      <x:c r="C121" s="869" t="str">
        <x:f>'작업 상세'!C113</x:f>
        <x:v>[확장] 구독·갱신·해지·환불 구현</x:v>
      </x:c>
      <x:c r="D121" s="876" t="str">
        <x:v>최인영</x:v>
      </x:c>
      <x:c r="E121" s="877"/>
      <x:c r="F121" s="877"/>
      <x:c r="G121" s="875" t="str">
        <x:f>IF(OR(E121="",F121=""),"",IF(F121&lt;E121,"기간 확인",COUNTIFS($I$10:$BJ$10,"&gt;="&amp;E121,$I$10:$BJ$10,"&lt;="&amp;F121)))</x:f>
      </x:c>
      <x:c r="H121" s="936" t="str">
        <x:v>보류</x:v>
      </x:c>
      <x:c r="I121" s="903"/>
      <x:c r="J121" s="903"/>
      <x:c r="K121" s="903"/>
      <x:c r="L121" s="903"/>
      <x:c r="M121" s="903"/>
      <x:c r="N121" s="903"/>
      <x:c r="O121" s="903"/>
      <x:c r="P121" s="903"/>
      <x:c r="Q121" s="903"/>
      <x:c r="R121" s="903"/>
      <x:c r="S121" s="903"/>
      <x:c r="T121" s="903"/>
      <x:c r="U121" s="903"/>
      <x:c r="V121" s="903"/>
      <x:c r="W121" s="903"/>
      <x:c r="X121" s="903"/>
      <x:c r="Y121" s="903"/>
      <x:c r="Z121" s="903"/>
      <x:c r="AA121" s="903"/>
      <x:c r="AB121" s="903"/>
      <x:c r="AC121" s="903"/>
      <x:c r="AD121" s="903"/>
      <x:c r="AE121" s="903"/>
      <x:c r="AF121" s="903"/>
      <x:c r="AG121" s="903"/>
      <x:c r="AH121" s="903"/>
      <x:c r="AI121" s="903"/>
      <x:c r="AJ121" s="903"/>
      <x:c r="AK121" s="903"/>
      <x:c r="AL121" s="903"/>
      <x:c r="AM121" s="903"/>
      <x:c r="AN121" s="903"/>
      <x:c r="AO121" s="903"/>
      <x:c r="AP121" s="903"/>
      <x:c r="AQ121" s="903"/>
      <x:c r="AR121" s="903"/>
      <x:c r="AS121" s="903"/>
      <x:c r="AT121" s="903"/>
      <x:c r="AU121" s="903"/>
      <x:c r="AV121" s="903"/>
      <x:c r="AW121" s="904"/>
      <x:c r="AX121" s="904"/>
      <x:c r="AY121" s="904"/>
      <x:c r="AZ121" s="904"/>
      <x:c r="BA121" s="904"/>
      <x:c r="BB121" s="904"/>
      <x:c r="BC121" s="904"/>
      <x:c r="BD121" s="904"/>
      <x:c r="BE121" s="904"/>
      <x:c r="BF121" s="904"/>
      <x:c r="BG121" s="904"/>
      <x:c r="BH121" s="904"/>
      <x:c r="BI121" s="904"/>
      <x:c r="BJ121" s="904"/>
    </x:row>
    <x:row r="122" ht="42" customHeight="1">
      <x:c r="A122" s="50"/>
      <x:c r="B122" s="875" t="str">
        <x:v>WBS-3.24</x:v>
      </x:c>
      <x:c r="C122" s="869" t="str">
        <x:f>'작업 상세'!C114</x:f>
        <x:v>[확장] 결제 운영·거래 대조 구현</x:v>
      </x:c>
      <x:c r="D122" s="876" t="str">
        <x:v>최인영</x:v>
      </x:c>
      <x:c r="E122" s="877"/>
      <x:c r="F122" s="877"/>
      <x:c r="G122" s="875" t="str">
        <x:f>IF(OR(E122="",F122=""),"",IF(F122&lt;E122,"기간 확인",COUNTIFS($I$10:$BJ$10,"&gt;="&amp;E122,$I$10:$BJ$10,"&lt;="&amp;F122)))</x:f>
      </x:c>
      <x:c r="H122" s="936" t="str">
        <x:v>보류</x:v>
      </x:c>
      <x:c r="I122" s="903"/>
      <x:c r="J122" s="903"/>
      <x:c r="K122" s="903"/>
      <x:c r="L122" s="903"/>
      <x:c r="M122" s="903"/>
      <x:c r="N122" s="903"/>
      <x:c r="O122" s="903"/>
      <x:c r="P122" s="903"/>
      <x:c r="Q122" s="903"/>
      <x:c r="R122" s="903"/>
      <x:c r="S122" s="903"/>
      <x:c r="T122" s="903"/>
      <x:c r="U122" s="903"/>
      <x:c r="V122" s="903"/>
      <x:c r="W122" s="903"/>
      <x:c r="X122" s="903"/>
      <x:c r="Y122" s="903"/>
      <x:c r="Z122" s="903"/>
      <x:c r="AA122" s="903"/>
      <x:c r="AB122" s="903"/>
      <x:c r="AC122" s="903"/>
      <x:c r="AD122" s="903"/>
      <x:c r="AE122" s="903"/>
      <x:c r="AF122" s="903"/>
      <x:c r="AG122" s="903"/>
      <x:c r="AH122" s="903"/>
      <x:c r="AI122" s="903"/>
      <x:c r="AJ122" s="903"/>
      <x:c r="AK122" s="903"/>
      <x:c r="AL122" s="903"/>
      <x:c r="AM122" s="903"/>
      <x:c r="AN122" s="903"/>
      <x:c r="AO122" s="903"/>
      <x:c r="AP122" s="903"/>
      <x:c r="AQ122" s="903"/>
      <x:c r="AR122" s="903"/>
      <x:c r="AS122" s="903"/>
      <x:c r="AT122" s="903"/>
      <x:c r="AU122" s="903"/>
      <x:c r="AV122" s="903"/>
      <x:c r="AW122" s="904"/>
      <x:c r="AX122" s="904"/>
      <x:c r="AY122" s="904"/>
      <x:c r="AZ122" s="904"/>
      <x:c r="BA122" s="904"/>
      <x:c r="BB122" s="904"/>
      <x:c r="BC122" s="904"/>
      <x:c r="BD122" s="904"/>
      <x:c r="BE122" s="904"/>
      <x:c r="BF122" s="904"/>
      <x:c r="BG122" s="904"/>
      <x:c r="BH122" s="904"/>
      <x:c r="BI122" s="904"/>
      <x:c r="BJ122" s="904"/>
    </x:row>
    <x:row r="123" ht="42" customHeight="1">
      <x:c r="A123" s="50"/>
      <x:c r="B123" s="875" t="str">
        <x:v>WBS-3.28</x:v>
      </x:c>
      <x:c r="C123" s="869" t="str">
        <x:f>'작업 상세'!C115</x:f>
        <x:v>[확장] 설명 sLLM 학습·기본 모델 비교</x:v>
      </x:c>
      <x:c r="D123" s="876" t="str">
        <x:v>김재현</x:v>
      </x:c>
      <x:c r="E123" s="877"/>
      <x:c r="F123" s="877"/>
      <x:c r="G123" s="875" t="str">
        <x:f>IF(OR(E123="",F123=""),"",IF(F123&lt;E123,"기간 확인",COUNTIFS($I$10:$BJ$10,"&gt;="&amp;E123,$I$10:$BJ$10,"&lt;="&amp;F123)))</x:f>
      </x:c>
      <x:c r="H123" s="936" t="str">
        <x:v>보류</x:v>
      </x:c>
      <x:c r="I123" s="903"/>
      <x:c r="J123" s="903"/>
      <x:c r="K123" s="903"/>
      <x:c r="L123" s="903"/>
      <x:c r="M123" s="903"/>
      <x:c r="N123" s="903"/>
      <x:c r="O123" s="903"/>
      <x:c r="P123" s="903"/>
      <x:c r="Q123" s="903"/>
      <x:c r="R123" s="903"/>
      <x:c r="S123" s="903"/>
      <x:c r="T123" s="903"/>
      <x:c r="U123" s="903"/>
      <x:c r="V123" s="903"/>
      <x:c r="W123" s="903"/>
      <x:c r="X123" s="903"/>
      <x:c r="Y123" s="903"/>
      <x:c r="Z123" s="903"/>
      <x:c r="AA123" s="903"/>
      <x:c r="AB123" s="903"/>
      <x:c r="AC123" s="903"/>
      <x:c r="AD123" s="903"/>
      <x:c r="AE123" s="903"/>
      <x:c r="AF123" s="903"/>
      <x:c r="AG123" s="903"/>
      <x:c r="AH123" s="903"/>
      <x:c r="AI123" s="903"/>
      <x:c r="AJ123" s="903"/>
      <x:c r="AK123" s="903"/>
      <x:c r="AL123" s="903"/>
      <x:c r="AM123" s="903"/>
      <x:c r="AN123" s="903"/>
      <x:c r="AO123" s="903"/>
      <x:c r="AP123" s="903"/>
      <x:c r="AQ123" s="903"/>
      <x:c r="AR123" s="903"/>
      <x:c r="AS123" s="903"/>
      <x:c r="AT123" s="903"/>
      <x:c r="AU123" s="903"/>
      <x:c r="AV123" s="903"/>
      <x:c r="AW123" s="904"/>
      <x:c r="AX123" s="904"/>
      <x:c r="AY123" s="904"/>
      <x:c r="AZ123" s="904"/>
      <x:c r="BA123" s="904"/>
      <x:c r="BB123" s="904"/>
      <x:c r="BC123" s="904"/>
      <x:c r="BD123" s="904"/>
      <x:c r="BE123" s="904"/>
      <x:c r="BF123" s="904"/>
      <x:c r="BG123" s="904"/>
      <x:c r="BH123" s="904"/>
      <x:c r="BI123" s="904"/>
      <x:c r="BJ123" s="904"/>
    </x:row>
    <x:row r="124" ht="42" customHeight="1">
      <x:c r="A124" s="50"/>
      <x:c r="B124" s="875" t="str">
        <x:v>WBS-4.4</x:v>
      </x:c>
      <x:c r="C124" s="869" t="str">
        <x:f>'작업 상세'!C116</x:f>
        <x:v>[확장] PG 테스트·구독 권한 검증</x:v>
      </x:c>
      <x:c r="D124" s="876" t="str">
        <x:v>최인영</x:v>
      </x:c>
      <x:c r="E124" s="877"/>
      <x:c r="F124" s="877"/>
      <x:c r="G124" s="875" t="str">
        <x:f>IF(OR(E124="",F124=""),"",IF(F124&lt;E124,"기간 확인",COUNTIFS($I$10:$BJ$10,"&gt;="&amp;E124,$I$10:$BJ$10,"&lt;="&amp;F124)))</x:f>
      </x:c>
      <x:c r="H124" s="936" t="str">
        <x:v>보류</x:v>
      </x:c>
      <x:c r="I124" s="903"/>
      <x:c r="J124" s="903"/>
      <x:c r="K124" s="903"/>
      <x:c r="L124" s="903"/>
      <x:c r="M124" s="903"/>
      <x:c r="N124" s="903"/>
      <x:c r="O124" s="903"/>
      <x:c r="P124" s="903"/>
      <x:c r="Q124" s="903"/>
      <x:c r="R124" s="903"/>
      <x:c r="S124" s="903"/>
      <x:c r="T124" s="903"/>
      <x:c r="U124" s="903"/>
      <x:c r="V124" s="903"/>
      <x:c r="W124" s="903"/>
      <x:c r="X124" s="903"/>
      <x:c r="Y124" s="903"/>
      <x:c r="Z124" s="903"/>
      <x:c r="AA124" s="903"/>
      <x:c r="AB124" s="903"/>
      <x:c r="AC124" s="903"/>
      <x:c r="AD124" s="903"/>
      <x:c r="AE124" s="903"/>
      <x:c r="AF124" s="903"/>
      <x:c r="AG124" s="903"/>
      <x:c r="AH124" s="903"/>
      <x:c r="AI124" s="903"/>
      <x:c r="AJ124" s="903"/>
      <x:c r="AK124" s="903"/>
      <x:c r="AL124" s="903"/>
      <x:c r="AM124" s="903"/>
      <x:c r="AN124" s="903"/>
      <x:c r="AO124" s="903"/>
      <x:c r="AP124" s="903"/>
      <x:c r="AQ124" s="903"/>
      <x:c r="AR124" s="903"/>
      <x:c r="AS124" s="903"/>
      <x:c r="AT124" s="903"/>
      <x:c r="AU124" s="903"/>
      <x:c r="AV124" s="903"/>
      <x:c r="AW124" s="904"/>
      <x:c r="AX124" s="904"/>
      <x:c r="AY124" s="904"/>
      <x:c r="AZ124" s="904"/>
      <x:c r="BA124" s="904"/>
      <x:c r="BB124" s="904"/>
      <x:c r="BC124" s="904"/>
      <x:c r="BD124" s="904"/>
      <x:c r="BE124" s="904"/>
      <x:c r="BF124" s="904"/>
      <x:c r="BG124" s="904"/>
      <x:c r="BH124" s="904"/>
      <x:c r="BI124" s="904"/>
      <x:c r="BJ124" s="904"/>
    </x:row>
    <x:row r="125" ht="42" customHeight="1">
      <x:c r="A125" s="50"/>
      <x:c r="B125" s="875" t="str">
        <x:v>WBS-5.15</x:v>
      </x:c>
      <x:c r="C125" s="869" t="str">
        <x:f>'작업 상세'!C117</x:f>
        <x:v>[확장] 자체 sLLM 산출물 제출</x:v>
      </x:c>
      <x:c r="D125" s="876" t="str">
        <x:v>김재현</x:v>
      </x:c>
      <x:c r="E125" s="877"/>
      <x:c r="F125" s="877"/>
      <x:c r="G125" s="875" t="str">
        <x:f>IF(OR(E125="",F125=""),"",IF(F125&lt;E125,"기간 확인",COUNTIFS($I$10:$BJ$10,"&gt;="&amp;E125,$I$10:$BJ$10,"&lt;="&amp;F125)))</x:f>
      </x:c>
      <x:c r="H125" s="936" t="str">
        <x:v>보류</x:v>
      </x:c>
      <x:c r="I125" s="903"/>
      <x:c r="J125" s="903"/>
      <x:c r="K125" s="903"/>
      <x:c r="L125" s="903"/>
      <x:c r="M125" s="903"/>
      <x:c r="N125" s="903"/>
      <x:c r="O125" s="903"/>
      <x:c r="P125" s="903"/>
      <x:c r="Q125" s="903"/>
      <x:c r="R125" s="903"/>
      <x:c r="S125" s="903"/>
      <x:c r="T125" s="903"/>
      <x:c r="U125" s="903"/>
      <x:c r="V125" s="903"/>
      <x:c r="W125" s="903"/>
      <x:c r="X125" s="903"/>
      <x:c r="Y125" s="903"/>
      <x:c r="Z125" s="903"/>
      <x:c r="AA125" s="903"/>
      <x:c r="AB125" s="903"/>
      <x:c r="AC125" s="903"/>
      <x:c r="AD125" s="903"/>
      <x:c r="AE125" s="903"/>
      <x:c r="AF125" s="903"/>
      <x:c r="AG125" s="903"/>
      <x:c r="AH125" s="903"/>
      <x:c r="AI125" s="903"/>
      <x:c r="AJ125" s="903"/>
      <x:c r="AK125" s="903"/>
      <x:c r="AL125" s="903"/>
      <x:c r="AM125" s="903"/>
      <x:c r="AN125" s="903"/>
      <x:c r="AO125" s="903"/>
      <x:c r="AP125" s="903"/>
      <x:c r="AQ125" s="903"/>
      <x:c r="AR125" s="903"/>
      <x:c r="AS125" s="903"/>
      <x:c r="AT125" s="903"/>
      <x:c r="AU125" s="903"/>
      <x:c r="AV125" s="903"/>
      <x:c r="AW125" s="904"/>
      <x:c r="AX125" s="904"/>
      <x:c r="AY125" s="904"/>
      <x:c r="AZ125" s="904"/>
      <x:c r="BA125" s="904"/>
      <x:c r="BB125" s="904"/>
      <x:c r="BC125" s="904"/>
      <x:c r="BD125" s="904"/>
      <x:c r="BE125" s="904"/>
      <x:c r="BF125" s="904"/>
      <x:c r="BG125" s="904"/>
      <x:c r="BH125" s="904"/>
      <x:c r="BI125" s="904"/>
      <x:c r="BJ125" s="904"/>
    </x:row>
    <x:row r="126" ht="15.75" customHeight="1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  <x:c r="X126" s="50"/>
      <x:c r="Y126" s="50"/>
      <x:c r="Z126" s="50"/>
      <x:c r="AA126" s="50"/>
      <x:c r="AB126" s="50"/>
      <x:c r="AC126" s="50"/>
      <x:c r="AD126" s="50"/>
      <x:c r="AE126" s="50"/>
      <x:c r="AF126" s="50"/>
      <x:c r="AG126" s="50"/>
      <x:c r="AH126" s="50"/>
      <x:c r="AI126" s="50"/>
      <x:c r="AJ126" s="50"/>
      <x:c r="AK126" s="50"/>
      <x:c r="AL126" s="50"/>
      <x:c r="AM126" s="50"/>
      <x:c r="AN126" s="50"/>
      <x:c r="AO126" s="50"/>
      <x:c r="AP126" s="50"/>
      <x:c r="AQ126" s="50"/>
      <x:c r="AR126" s="50"/>
      <x:c r="AS126" s="50"/>
      <x:c r="AT126" s="50"/>
      <x:c r="AU126" s="50"/>
      <x:c r="AV126" s="50"/>
    </x:row>
    <x:row r="127" ht="15.75" customHeight="1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  <x:c r="X127" s="50"/>
      <x:c r="Y127" s="50"/>
      <x:c r="Z127" s="50"/>
      <x:c r="AA127" s="50"/>
      <x:c r="AB127" s="50"/>
      <x:c r="AC127" s="50"/>
      <x:c r="AD127" s="50"/>
      <x:c r="AE127" s="50"/>
      <x:c r="AF127" s="50"/>
      <x:c r="AG127" s="50"/>
      <x:c r="AH127" s="50"/>
      <x:c r="AI127" s="50"/>
      <x:c r="AJ127" s="50"/>
      <x:c r="AK127" s="50"/>
      <x:c r="AL127" s="50"/>
      <x:c r="AM127" s="50"/>
      <x:c r="AN127" s="50"/>
      <x:c r="AO127" s="50"/>
      <x:c r="AP127" s="50"/>
      <x:c r="AQ127" s="50"/>
      <x:c r="AR127" s="50"/>
      <x:c r="AS127" s="50"/>
      <x:c r="AT127" s="50"/>
      <x:c r="AU127" s="50"/>
      <x:c r="AV127" s="50"/>
    </x:row>
    <x:row r="128" ht="15.75" customHeight="1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  <x:c r="X128" s="50"/>
      <x:c r="Y128" s="50"/>
      <x:c r="Z128" s="50"/>
      <x:c r="AA128" s="50"/>
      <x:c r="AB128" s="50"/>
      <x:c r="AC128" s="50"/>
      <x:c r="AD128" s="50"/>
      <x:c r="AE128" s="50"/>
      <x:c r="AF128" s="50"/>
      <x:c r="AG128" s="50"/>
      <x:c r="AH128" s="50"/>
      <x:c r="AI128" s="50"/>
      <x:c r="AJ128" s="50"/>
      <x:c r="AK128" s="50"/>
      <x:c r="AL128" s="50"/>
      <x:c r="AM128" s="50"/>
      <x:c r="AN128" s="50"/>
      <x:c r="AO128" s="50"/>
      <x:c r="AP128" s="50"/>
      <x:c r="AQ128" s="50"/>
      <x:c r="AR128" s="50"/>
      <x:c r="AS128" s="50"/>
      <x:c r="AT128" s="50"/>
      <x:c r="AU128" s="50"/>
      <x:c r="AV128" s="50"/>
    </x:row>
    <x:row r="129" ht="15.75" customHeight="1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  <x:c r="X129" s="50"/>
      <x:c r="Y129" s="50"/>
      <x:c r="Z129" s="50"/>
      <x:c r="AA129" s="50"/>
      <x:c r="AB129" s="50"/>
      <x:c r="AC129" s="50"/>
      <x:c r="AD129" s="50"/>
      <x:c r="AE129" s="50"/>
      <x:c r="AF129" s="50"/>
      <x:c r="AG129" s="50"/>
      <x:c r="AH129" s="50"/>
      <x:c r="AI129" s="50"/>
      <x:c r="AJ129" s="50"/>
      <x:c r="AK129" s="50"/>
      <x:c r="AL129" s="50"/>
      <x:c r="AM129" s="50"/>
      <x:c r="AN129" s="50"/>
      <x:c r="AO129" s="50"/>
      <x:c r="AP129" s="50"/>
      <x:c r="AQ129" s="50"/>
      <x:c r="AR129" s="50"/>
      <x:c r="AS129" s="50"/>
      <x:c r="AT129" s="50"/>
      <x:c r="AU129" s="50"/>
      <x:c r="AV129" s="50"/>
    </x:row>
    <x:row r="130" ht="15.75" customHeight="1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  <x:c r="X130" s="50"/>
      <x:c r="Y130" s="50"/>
      <x:c r="Z130" s="50"/>
      <x:c r="AA130" s="50"/>
      <x:c r="AB130" s="50"/>
      <x:c r="AC130" s="50"/>
      <x:c r="AD130" s="50"/>
      <x:c r="AE130" s="50"/>
      <x:c r="AF130" s="50"/>
      <x:c r="AG130" s="50"/>
      <x:c r="AH130" s="50"/>
      <x:c r="AI130" s="50"/>
      <x:c r="AJ130" s="50"/>
      <x:c r="AK130" s="50"/>
      <x:c r="AL130" s="50"/>
      <x:c r="AM130" s="50"/>
      <x:c r="AN130" s="50"/>
      <x:c r="AO130" s="50"/>
      <x:c r="AP130" s="50"/>
      <x:c r="AQ130" s="50"/>
      <x:c r="AR130" s="50"/>
      <x:c r="AS130" s="50"/>
      <x:c r="AT130" s="50"/>
      <x:c r="AU130" s="50"/>
      <x:c r="AV130" s="50"/>
    </x:row>
    <x:row r="131" ht="15.75" customHeight="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  <x:c r="X131" s="50"/>
      <x:c r="Y131" s="50"/>
      <x:c r="Z131" s="50"/>
      <x:c r="AA131" s="50"/>
      <x:c r="AB131" s="50"/>
      <x:c r="AC131" s="50"/>
      <x:c r="AD131" s="50"/>
      <x:c r="AE131" s="50"/>
      <x:c r="AF131" s="50"/>
      <x:c r="AG131" s="50"/>
      <x:c r="AH131" s="50"/>
      <x:c r="AI131" s="50"/>
      <x:c r="AJ131" s="50"/>
      <x:c r="AK131" s="50"/>
      <x:c r="AL131" s="50"/>
      <x:c r="AM131" s="50"/>
      <x:c r="AN131" s="50"/>
      <x:c r="AO131" s="50"/>
      <x:c r="AP131" s="50"/>
      <x:c r="AQ131" s="50"/>
      <x:c r="AR131" s="50"/>
      <x:c r="AS131" s="50"/>
      <x:c r="AT131" s="50"/>
      <x:c r="AU131" s="50"/>
      <x:c r="AV131" s="50"/>
    </x:row>
    <x:row r="132" ht="15.75" customHeight="1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  <x:c r="X132" s="50"/>
      <x:c r="Y132" s="50"/>
      <x:c r="Z132" s="50"/>
      <x:c r="AA132" s="50"/>
      <x:c r="AB132" s="50"/>
      <x:c r="AC132" s="50"/>
      <x:c r="AD132" s="50"/>
      <x:c r="AE132" s="50"/>
      <x:c r="AF132" s="50"/>
      <x:c r="AG132" s="50"/>
      <x:c r="AH132" s="50"/>
      <x:c r="AI132" s="50"/>
      <x:c r="AJ132" s="50"/>
      <x:c r="AK132" s="50"/>
      <x:c r="AL132" s="50"/>
      <x:c r="AM132" s="50"/>
      <x:c r="AN132" s="50"/>
      <x:c r="AO132" s="50"/>
      <x:c r="AP132" s="50"/>
      <x:c r="AQ132" s="50"/>
      <x:c r="AR132" s="50"/>
      <x:c r="AS132" s="50"/>
      <x:c r="AT132" s="50"/>
      <x:c r="AU132" s="50"/>
      <x:c r="AV132" s="50"/>
    </x:row>
    <x:row r="133" ht="15.75" customHeight="1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  <x:c r="X133" s="50"/>
      <x:c r="Y133" s="50"/>
      <x:c r="Z133" s="50"/>
      <x:c r="AA133" s="50"/>
      <x:c r="AB133" s="50"/>
      <x:c r="AC133" s="50"/>
      <x:c r="AD133" s="50"/>
      <x:c r="AE133" s="50"/>
      <x:c r="AF133" s="50"/>
      <x:c r="AG133" s="50"/>
      <x:c r="AH133" s="50"/>
      <x:c r="AI133" s="50"/>
      <x:c r="AJ133" s="50"/>
      <x:c r="AK133" s="50"/>
      <x:c r="AL133" s="50"/>
      <x:c r="AM133" s="50"/>
      <x:c r="AN133" s="50"/>
      <x:c r="AO133" s="50"/>
      <x:c r="AP133" s="50"/>
      <x:c r="AQ133" s="50"/>
      <x:c r="AR133" s="50"/>
      <x:c r="AS133" s="50"/>
      <x:c r="AT133" s="50"/>
      <x:c r="AU133" s="50"/>
      <x:c r="AV133" s="50"/>
    </x:row>
    <x:row r="134" ht="15.75" customHeight="1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  <x:c r="X134" s="50"/>
      <x:c r="Y134" s="50"/>
      <x:c r="Z134" s="50"/>
      <x:c r="AA134" s="50"/>
      <x:c r="AB134" s="50"/>
      <x:c r="AC134" s="50"/>
      <x:c r="AD134" s="50"/>
      <x:c r="AE134" s="50"/>
      <x:c r="AF134" s="50"/>
      <x:c r="AG134" s="50"/>
      <x:c r="AH134" s="50"/>
      <x:c r="AI134" s="50"/>
      <x:c r="AJ134" s="50"/>
      <x:c r="AK134" s="50"/>
      <x:c r="AL134" s="50"/>
      <x:c r="AM134" s="50"/>
      <x:c r="AN134" s="50"/>
      <x:c r="AO134" s="50"/>
      <x:c r="AP134" s="50"/>
      <x:c r="AQ134" s="50"/>
      <x:c r="AR134" s="50"/>
      <x:c r="AS134" s="50"/>
      <x:c r="AT134" s="50"/>
      <x:c r="AU134" s="50"/>
      <x:c r="AV134" s="50"/>
    </x:row>
    <x:row r="135" ht="15.75" customHeight="1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  <x:c r="X135" s="50"/>
      <x:c r="Y135" s="50"/>
      <x:c r="Z135" s="50"/>
      <x:c r="AA135" s="50"/>
      <x:c r="AB135" s="50"/>
      <x:c r="AC135" s="50"/>
      <x:c r="AD135" s="50"/>
      <x:c r="AE135" s="50"/>
      <x:c r="AF135" s="50"/>
      <x:c r="AG135" s="50"/>
      <x:c r="AH135" s="50"/>
      <x:c r="AI135" s="50"/>
      <x:c r="AJ135" s="50"/>
      <x:c r="AK135" s="50"/>
      <x:c r="AL135" s="50"/>
      <x:c r="AM135" s="50"/>
      <x:c r="AN135" s="50"/>
      <x:c r="AO135" s="50"/>
      <x:c r="AP135" s="50"/>
      <x:c r="AQ135" s="50"/>
      <x:c r="AR135" s="50"/>
      <x:c r="AS135" s="50"/>
      <x:c r="AT135" s="50"/>
      <x:c r="AU135" s="50"/>
      <x:c r="AV135" s="50"/>
    </x:row>
    <x:row r="136" ht="15.75" customHeight="1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  <x:c r="X136" s="50"/>
      <x:c r="Y136" s="50"/>
      <x:c r="Z136" s="50"/>
      <x:c r="AA136" s="50"/>
      <x:c r="AB136" s="50"/>
      <x:c r="AC136" s="50"/>
      <x:c r="AD136" s="50"/>
      <x:c r="AE136" s="50"/>
      <x:c r="AF136" s="50"/>
      <x:c r="AG136" s="50"/>
      <x:c r="AH136" s="50"/>
      <x:c r="AI136" s="50"/>
      <x:c r="AJ136" s="50"/>
      <x:c r="AK136" s="50"/>
      <x:c r="AL136" s="50"/>
      <x:c r="AM136" s="50"/>
      <x:c r="AN136" s="50"/>
      <x:c r="AO136" s="50"/>
      <x:c r="AP136" s="50"/>
      <x:c r="AQ136" s="50"/>
      <x:c r="AR136" s="50"/>
      <x:c r="AS136" s="50"/>
      <x:c r="AT136" s="50"/>
      <x:c r="AU136" s="50"/>
      <x:c r="AV136" s="50"/>
    </x:row>
    <x:row r="137" ht="15.75" customHeight="1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  <x:c r="X137" s="50"/>
      <x:c r="Y137" s="50"/>
      <x:c r="Z137" s="50"/>
      <x:c r="AA137" s="50"/>
      <x:c r="AB137" s="50"/>
      <x:c r="AC137" s="50"/>
      <x:c r="AD137" s="50"/>
      <x:c r="AE137" s="50"/>
      <x:c r="AF137" s="50"/>
      <x:c r="AG137" s="50"/>
      <x:c r="AH137" s="50"/>
      <x:c r="AI137" s="50"/>
      <x:c r="AJ137" s="50"/>
      <x:c r="AK137" s="50"/>
      <x:c r="AL137" s="50"/>
      <x:c r="AM137" s="50"/>
      <x:c r="AN137" s="50"/>
      <x:c r="AO137" s="50"/>
      <x:c r="AP137" s="50"/>
      <x:c r="AQ137" s="50"/>
      <x:c r="AR137" s="50"/>
      <x:c r="AS137" s="50"/>
      <x:c r="AT137" s="50"/>
      <x:c r="AU137" s="50"/>
      <x:c r="AV137" s="50"/>
    </x:row>
    <x:row r="138" ht="15.75" customHeight="1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  <x:c r="X138" s="50"/>
      <x:c r="Y138" s="50"/>
      <x:c r="Z138" s="50"/>
      <x:c r="AA138" s="50"/>
      <x:c r="AB138" s="50"/>
      <x:c r="AC138" s="50"/>
      <x:c r="AD138" s="50"/>
      <x:c r="AE138" s="50"/>
      <x:c r="AF138" s="50"/>
      <x:c r="AG138" s="50"/>
      <x:c r="AH138" s="50"/>
      <x:c r="AI138" s="50"/>
      <x:c r="AJ138" s="50"/>
      <x:c r="AK138" s="50"/>
      <x:c r="AL138" s="50"/>
      <x:c r="AM138" s="50"/>
      <x:c r="AN138" s="50"/>
      <x:c r="AO138" s="50"/>
      <x:c r="AP138" s="50"/>
      <x:c r="AQ138" s="50"/>
      <x:c r="AR138" s="50"/>
      <x:c r="AS138" s="50"/>
      <x:c r="AT138" s="50"/>
      <x:c r="AU138" s="50"/>
      <x:c r="AV138" s="50"/>
    </x:row>
    <x:row r="139" ht="15.75" customHeight="1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  <x:c r="X139" s="50"/>
      <x:c r="Y139" s="50"/>
      <x:c r="Z139" s="50"/>
      <x:c r="AA139" s="50"/>
      <x:c r="AB139" s="50"/>
      <x:c r="AC139" s="50"/>
      <x:c r="AD139" s="50"/>
      <x:c r="AE139" s="50"/>
      <x:c r="AF139" s="50"/>
      <x:c r="AG139" s="50"/>
      <x:c r="AH139" s="50"/>
      <x:c r="AI139" s="50"/>
      <x:c r="AJ139" s="50"/>
      <x:c r="AK139" s="50"/>
      <x:c r="AL139" s="50"/>
      <x:c r="AM139" s="50"/>
      <x:c r="AN139" s="50"/>
      <x:c r="AO139" s="50"/>
      <x:c r="AP139" s="50"/>
      <x:c r="AQ139" s="50"/>
      <x:c r="AR139" s="50"/>
      <x:c r="AS139" s="50"/>
      <x:c r="AT139" s="50"/>
      <x:c r="AU139" s="50"/>
      <x:c r="AV139" s="50"/>
    </x:row>
    <x:row r="140" ht="15.75" customHeight="1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  <x:c r="X140" s="50"/>
      <x:c r="Y140" s="50"/>
      <x:c r="Z140" s="50"/>
      <x:c r="AA140" s="50"/>
      <x:c r="AB140" s="50"/>
      <x:c r="AC140" s="50"/>
      <x:c r="AD140" s="50"/>
      <x:c r="AE140" s="50"/>
      <x:c r="AF140" s="50"/>
      <x:c r="AG140" s="50"/>
      <x:c r="AH140" s="50"/>
      <x:c r="AI140" s="50"/>
      <x:c r="AJ140" s="50"/>
      <x:c r="AK140" s="50"/>
      <x:c r="AL140" s="50"/>
      <x:c r="AM140" s="50"/>
      <x:c r="AN140" s="50"/>
      <x:c r="AO140" s="50"/>
      <x:c r="AP140" s="50"/>
      <x:c r="AQ140" s="50"/>
      <x:c r="AR140" s="50"/>
      <x:c r="AS140" s="50"/>
      <x:c r="AT140" s="50"/>
      <x:c r="AU140" s="50"/>
      <x:c r="AV140" s="50"/>
    </x:row>
    <x:row r="141" ht="15.75" customHeight="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  <x:c r="X141" s="50"/>
      <x:c r="Y141" s="50"/>
      <x:c r="Z141" s="50"/>
      <x:c r="AA141" s="50"/>
      <x:c r="AB141" s="50"/>
      <x:c r="AC141" s="50"/>
      <x:c r="AD141" s="50"/>
      <x:c r="AE141" s="50"/>
      <x:c r="AF141" s="50"/>
      <x:c r="AG141" s="50"/>
      <x:c r="AH141" s="50"/>
      <x:c r="AI141" s="50"/>
      <x:c r="AJ141" s="50"/>
      <x:c r="AK141" s="50"/>
      <x:c r="AL141" s="50"/>
      <x:c r="AM141" s="50"/>
      <x:c r="AN141" s="50"/>
      <x:c r="AO141" s="50"/>
      <x:c r="AP141" s="50"/>
      <x:c r="AQ141" s="50"/>
      <x:c r="AR141" s="50"/>
      <x:c r="AS141" s="50"/>
      <x:c r="AT141" s="50"/>
      <x:c r="AU141" s="50"/>
      <x:c r="AV141" s="50"/>
    </x:row>
    <x:row r="142" ht="15.75" customHeight="1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  <x:c r="X142" s="50"/>
      <x:c r="Y142" s="50"/>
      <x:c r="Z142" s="50"/>
      <x:c r="AA142" s="50"/>
      <x:c r="AB142" s="50"/>
      <x:c r="AC142" s="50"/>
      <x:c r="AD142" s="50"/>
      <x:c r="AE142" s="50"/>
      <x:c r="AF142" s="50"/>
      <x:c r="AG142" s="50"/>
      <x:c r="AH142" s="50"/>
      <x:c r="AI142" s="50"/>
      <x:c r="AJ142" s="50"/>
      <x:c r="AK142" s="50"/>
      <x:c r="AL142" s="50"/>
      <x:c r="AM142" s="50"/>
      <x:c r="AN142" s="50"/>
      <x:c r="AO142" s="50"/>
      <x:c r="AP142" s="50"/>
      <x:c r="AQ142" s="50"/>
      <x:c r="AR142" s="50"/>
      <x:c r="AS142" s="50"/>
      <x:c r="AT142" s="50"/>
      <x:c r="AU142" s="50"/>
      <x:c r="AV142" s="50"/>
    </x:row>
    <x:row r="143" ht="15.75" customHeight="1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  <x:c r="X143" s="50"/>
      <x:c r="Y143" s="50"/>
      <x:c r="Z143" s="50"/>
      <x:c r="AA143" s="50"/>
      <x:c r="AB143" s="50"/>
      <x:c r="AC143" s="50"/>
      <x:c r="AD143" s="50"/>
      <x:c r="AE143" s="50"/>
      <x:c r="AF143" s="50"/>
      <x:c r="AG143" s="50"/>
      <x:c r="AH143" s="50"/>
      <x:c r="AI143" s="50"/>
      <x:c r="AJ143" s="50"/>
      <x:c r="AK143" s="50"/>
      <x:c r="AL143" s="50"/>
      <x:c r="AM143" s="50"/>
      <x:c r="AN143" s="50"/>
      <x:c r="AO143" s="50"/>
      <x:c r="AP143" s="50"/>
      <x:c r="AQ143" s="50"/>
      <x:c r="AR143" s="50"/>
      <x:c r="AS143" s="50"/>
      <x:c r="AT143" s="50"/>
      <x:c r="AU143" s="50"/>
      <x:c r="AV143" s="50"/>
    </x:row>
    <x:row r="144" ht="15.75" customHeight="1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  <x:c r="X144" s="50"/>
      <x:c r="Y144" s="50"/>
      <x:c r="Z144" s="50"/>
      <x:c r="AA144" s="50"/>
      <x:c r="AB144" s="50"/>
      <x:c r="AC144" s="50"/>
      <x:c r="AD144" s="50"/>
      <x:c r="AE144" s="50"/>
      <x:c r="AF144" s="50"/>
      <x:c r="AG144" s="50"/>
      <x:c r="AH144" s="50"/>
      <x:c r="AI144" s="50"/>
      <x:c r="AJ144" s="50"/>
      <x:c r="AK144" s="50"/>
      <x:c r="AL144" s="50"/>
      <x:c r="AM144" s="50"/>
      <x:c r="AN144" s="50"/>
      <x:c r="AO144" s="50"/>
      <x:c r="AP144" s="50"/>
      <x:c r="AQ144" s="50"/>
      <x:c r="AR144" s="50"/>
      <x:c r="AS144" s="50"/>
      <x:c r="AT144" s="50"/>
      <x:c r="AU144" s="50"/>
      <x:c r="AV144" s="50"/>
    </x:row>
    <x:row r="145" ht="15.75" customHeight="1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  <x:c r="X145" s="50"/>
      <x:c r="Y145" s="50"/>
      <x:c r="Z145" s="50"/>
      <x:c r="AA145" s="50"/>
      <x:c r="AB145" s="50"/>
      <x:c r="AC145" s="50"/>
      <x:c r="AD145" s="50"/>
      <x:c r="AE145" s="50"/>
      <x:c r="AF145" s="50"/>
      <x:c r="AG145" s="50"/>
      <x:c r="AH145" s="50"/>
      <x:c r="AI145" s="50"/>
      <x:c r="AJ145" s="50"/>
      <x:c r="AK145" s="50"/>
      <x:c r="AL145" s="50"/>
      <x:c r="AM145" s="50"/>
      <x:c r="AN145" s="50"/>
      <x:c r="AO145" s="50"/>
      <x:c r="AP145" s="50"/>
      <x:c r="AQ145" s="50"/>
      <x:c r="AR145" s="50"/>
      <x:c r="AS145" s="50"/>
      <x:c r="AT145" s="50"/>
      <x:c r="AU145" s="50"/>
      <x:c r="AV145" s="50"/>
    </x:row>
    <x:row r="146" ht="15.75" customHeight="1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  <x:c r="X146" s="50"/>
      <x:c r="Y146" s="50"/>
      <x:c r="Z146" s="50"/>
      <x:c r="AA146" s="50"/>
      <x:c r="AB146" s="50"/>
      <x:c r="AC146" s="50"/>
      <x:c r="AD146" s="50"/>
      <x:c r="AE146" s="50"/>
      <x:c r="AF146" s="50"/>
      <x:c r="AG146" s="50"/>
      <x:c r="AH146" s="50"/>
      <x:c r="AI146" s="50"/>
      <x:c r="AJ146" s="50"/>
      <x:c r="AK146" s="50"/>
      <x:c r="AL146" s="50"/>
      <x:c r="AM146" s="50"/>
      <x:c r="AN146" s="50"/>
      <x:c r="AO146" s="50"/>
      <x:c r="AP146" s="50"/>
      <x:c r="AQ146" s="50"/>
      <x:c r="AR146" s="50"/>
      <x:c r="AS146" s="50"/>
      <x:c r="AT146" s="50"/>
      <x:c r="AU146" s="50"/>
      <x:c r="AV146" s="50"/>
    </x:row>
    <x:row r="147" ht="15.75" customHeight="1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  <x:c r="X147" s="50"/>
      <x:c r="Y147" s="50"/>
      <x:c r="Z147" s="50"/>
      <x:c r="AA147" s="50"/>
      <x:c r="AB147" s="50"/>
      <x:c r="AC147" s="50"/>
      <x:c r="AD147" s="50"/>
      <x:c r="AE147" s="50"/>
      <x:c r="AF147" s="50"/>
      <x:c r="AG147" s="50"/>
      <x:c r="AH147" s="50"/>
      <x:c r="AI147" s="50"/>
      <x:c r="AJ147" s="50"/>
      <x:c r="AK147" s="50"/>
      <x:c r="AL147" s="50"/>
      <x:c r="AM147" s="50"/>
      <x:c r="AN147" s="50"/>
      <x:c r="AO147" s="50"/>
      <x:c r="AP147" s="50"/>
      <x:c r="AQ147" s="50"/>
      <x:c r="AR147" s="50"/>
      <x:c r="AS147" s="50"/>
      <x:c r="AT147" s="50"/>
      <x:c r="AU147" s="50"/>
      <x:c r="AV147" s="50"/>
    </x:row>
    <x:row r="148" ht="15.75" customHeight="1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  <x:c r="X148" s="50"/>
      <x:c r="Y148" s="50"/>
      <x:c r="Z148" s="50"/>
      <x:c r="AA148" s="50"/>
      <x:c r="AB148" s="50"/>
      <x:c r="AC148" s="50"/>
      <x:c r="AD148" s="50"/>
      <x:c r="AE148" s="50"/>
      <x:c r="AF148" s="50"/>
      <x:c r="AG148" s="50"/>
      <x:c r="AH148" s="50"/>
      <x:c r="AI148" s="50"/>
      <x:c r="AJ148" s="50"/>
      <x:c r="AK148" s="50"/>
      <x:c r="AL148" s="50"/>
      <x:c r="AM148" s="50"/>
      <x:c r="AN148" s="50"/>
      <x:c r="AO148" s="50"/>
      <x:c r="AP148" s="50"/>
      <x:c r="AQ148" s="50"/>
      <x:c r="AR148" s="50"/>
      <x:c r="AS148" s="50"/>
      <x:c r="AT148" s="50"/>
      <x:c r="AU148" s="50"/>
      <x:c r="AV148" s="50"/>
    </x:row>
    <x:row r="149" ht="15.75" customHeight="1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  <x:c r="X149" s="50"/>
      <x:c r="Y149" s="50"/>
      <x:c r="Z149" s="50"/>
      <x:c r="AA149" s="50"/>
      <x:c r="AB149" s="50"/>
      <x:c r="AC149" s="50"/>
      <x:c r="AD149" s="50"/>
      <x:c r="AE149" s="50"/>
      <x:c r="AF149" s="50"/>
      <x:c r="AG149" s="50"/>
      <x:c r="AH149" s="50"/>
      <x:c r="AI149" s="50"/>
      <x:c r="AJ149" s="50"/>
      <x:c r="AK149" s="50"/>
      <x:c r="AL149" s="50"/>
      <x:c r="AM149" s="50"/>
      <x:c r="AN149" s="50"/>
      <x:c r="AO149" s="50"/>
      <x:c r="AP149" s="50"/>
      <x:c r="AQ149" s="50"/>
      <x:c r="AR149" s="50"/>
      <x:c r="AS149" s="50"/>
      <x:c r="AT149" s="50"/>
      <x:c r="AU149" s="50"/>
      <x:c r="AV149" s="50"/>
    </x:row>
    <x:row r="150" ht="15.75" customHeight="1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  <x:c r="X150" s="50"/>
      <x:c r="Y150" s="50"/>
      <x:c r="Z150" s="50"/>
      <x:c r="AA150" s="50"/>
      <x:c r="AB150" s="50"/>
      <x:c r="AC150" s="50"/>
      <x:c r="AD150" s="50"/>
      <x:c r="AE150" s="50"/>
      <x:c r="AF150" s="50"/>
      <x:c r="AG150" s="50"/>
      <x:c r="AH150" s="50"/>
      <x:c r="AI150" s="50"/>
      <x:c r="AJ150" s="50"/>
      <x:c r="AK150" s="50"/>
      <x:c r="AL150" s="50"/>
      <x:c r="AM150" s="50"/>
      <x:c r="AN150" s="50"/>
      <x:c r="AO150" s="50"/>
      <x:c r="AP150" s="50"/>
      <x:c r="AQ150" s="50"/>
      <x:c r="AR150" s="50"/>
      <x:c r="AS150" s="50"/>
      <x:c r="AT150" s="50"/>
      <x:c r="AU150" s="50"/>
      <x:c r="AV150" s="50"/>
    </x:row>
    <x:row r="151" ht="15.75" customHeight="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  <x:c r="X151" s="50"/>
      <x:c r="Y151" s="50"/>
      <x:c r="Z151" s="50"/>
      <x:c r="AA151" s="50"/>
      <x:c r="AB151" s="50"/>
      <x:c r="AC151" s="50"/>
      <x:c r="AD151" s="50"/>
      <x:c r="AE151" s="50"/>
      <x:c r="AF151" s="50"/>
      <x:c r="AG151" s="50"/>
      <x:c r="AH151" s="50"/>
      <x:c r="AI151" s="50"/>
      <x:c r="AJ151" s="50"/>
      <x:c r="AK151" s="50"/>
      <x:c r="AL151" s="50"/>
      <x:c r="AM151" s="50"/>
      <x:c r="AN151" s="50"/>
      <x:c r="AO151" s="50"/>
      <x:c r="AP151" s="50"/>
      <x:c r="AQ151" s="50"/>
      <x:c r="AR151" s="50"/>
      <x:c r="AS151" s="50"/>
      <x:c r="AT151" s="50"/>
      <x:c r="AU151" s="50"/>
      <x:c r="AV151" s="50"/>
    </x:row>
    <x:row r="152" ht="15.75" customHeight="1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  <x:c r="X152" s="50"/>
      <x:c r="Y152" s="50"/>
      <x:c r="Z152" s="50"/>
      <x:c r="AA152" s="50"/>
      <x:c r="AB152" s="50"/>
      <x:c r="AC152" s="50"/>
      <x:c r="AD152" s="50"/>
      <x:c r="AE152" s="50"/>
      <x:c r="AF152" s="50"/>
      <x:c r="AG152" s="50"/>
      <x:c r="AH152" s="50"/>
      <x:c r="AI152" s="50"/>
      <x:c r="AJ152" s="50"/>
      <x:c r="AK152" s="50"/>
      <x:c r="AL152" s="50"/>
      <x:c r="AM152" s="50"/>
      <x:c r="AN152" s="50"/>
      <x:c r="AO152" s="50"/>
      <x:c r="AP152" s="50"/>
      <x:c r="AQ152" s="50"/>
      <x:c r="AR152" s="50"/>
      <x:c r="AS152" s="50"/>
      <x:c r="AT152" s="50"/>
      <x:c r="AU152" s="50"/>
      <x:c r="AV152" s="50"/>
    </x:row>
    <x:row r="153" ht="15.75" customHeight="1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  <x:c r="X153" s="50"/>
      <x:c r="Y153" s="50"/>
      <x:c r="Z153" s="50"/>
      <x:c r="AA153" s="50"/>
      <x:c r="AB153" s="50"/>
      <x:c r="AC153" s="50"/>
      <x:c r="AD153" s="50"/>
      <x:c r="AE153" s="50"/>
      <x:c r="AF153" s="50"/>
      <x:c r="AG153" s="50"/>
      <x:c r="AH153" s="50"/>
      <x:c r="AI153" s="50"/>
      <x:c r="AJ153" s="50"/>
      <x:c r="AK153" s="50"/>
      <x:c r="AL153" s="50"/>
      <x:c r="AM153" s="50"/>
      <x:c r="AN153" s="50"/>
      <x:c r="AO153" s="50"/>
      <x:c r="AP153" s="50"/>
      <x:c r="AQ153" s="50"/>
      <x:c r="AR153" s="50"/>
      <x:c r="AS153" s="50"/>
      <x:c r="AT153" s="50"/>
      <x:c r="AU153" s="50"/>
      <x:c r="AV153" s="50"/>
    </x:row>
    <x:row r="154" ht="15.75" customHeight="1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  <x:c r="X154" s="50"/>
      <x:c r="Y154" s="50"/>
      <x:c r="Z154" s="50"/>
      <x:c r="AA154" s="50"/>
      <x:c r="AB154" s="50"/>
      <x:c r="AC154" s="50"/>
      <x:c r="AD154" s="50"/>
      <x:c r="AE154" s="50"/>
      <x:c r="AF154" s="50"/>
      <x:c r="AG154" s="50"/>
      <x:c r="AH154" s="50"/>
      <x:c r="AI154" s="50"/>
      <x:c r="AJ154" s="50"/>
      <x:c r="AK154" s="50"/>
      <x:c r="AL154" s="50"/>
      <x:c r="AM154" s="50"/>
      <x:c r="AN154" s="50"/>
      <x:c r="AO154" s="50"/>
      <x:c r="AP154" s="50"/>
      <x:c r="AQ154" s="50"/>
      <x:c r="AR154" s="50"/>
      <x:c r="AS154" s="50"/>
      <x:c r="AT154" s="50"/>
      <x:c r="AU154" s="50"/>
      <x:c r="AV154" s="50"/>
    </x:row>
    <x:row r="155" ht="15.75" customHeight="1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  <x:c r="X155" s="50"/>
      <x:c r="Y155" s="50"/>
      <x:c r="Z155" s="50"/>
      <x:c r="AA155" s="50"/>
      <x:c r="AB155" s="50"/>
      <x:c r="AC155" s="50"/>
      <x:c r="AD155" s="50"/>
      <x:c r="AE155" s="50"/>
      <x:c r="AF155" s="50"/>
      <x:c r="AG155" s="50"/>
      <x:c r="AH155" s="50"/>
      <x:c r="AI155" s="50"/>
      <x:c r="AJ155" s="50"/>
      <x:c r="AK155" s="50"/>
      <x:c r="AL155" s="50"/>
      <x:c r="AM155" s="50"/>
      <x:c r="AN155" s="50"/>
      <x:c r="AO155" s="50"/>
      <x:c r="AP155" s="50"/>
      <x:c r="AQ155" s="50"/>
      <x:c r="AR155" s="50"/>
      <x:c r="AS155" s="50"/>
      <x:c r="AT155" s="50"/>
      <x:c r="AU155" s="50"/>
      <x:c r="AV155" s="50"/>
    </x:row>
    <x:row r="156" ht="15.75" customHeight="1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  <x:c r="X156" s="50"/>
      <x:c r="Y156" s="50"/>
      <x:c r="Z156" s="50"/>
      <x:c r="AA156" s="50"/>
      <x:c r="AB156" s="50"/>
      <x:c r="AC156" s="50"/>
      <x:c r="AD156" s="50"/>
      <x:c r="AE156" s="50"/>
      <x:c r="AF156" s="50"/>
      <x:c r="AG156" s="50"/>
      <x:c r="AH156" s="50"/>
      <x:c r="AI156" s="50"/>
      <x:c r="AJ156" s="50"/>
      <x:c r="AK156" s="50"/>
      <x:c r="AL156" s="50"/>
      <x:c r="AM156" s="50"/>
      <x:c r="AN156" s="50"/>
      <x:c r="AO156" s="50"/>
      <x:c r="AP156" s="50"/>
      <x:c r="AQ156" s="50"/>
      <x:c r="AR156" s="50"/>
      <x:c r="AS156" s="50"/>
      <x:c r="AT156" s="50"/>
      <x:c r="AU156" s="50"/>
      <x:c r="AV156" s="50"/>
    </x:row>
    <x:row r="157" ht="15.75" customHeight="1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  <x:c r="X157" s="50"/>
      <x:c r="Y157" s="50"/>
      <x:c r="Z157" s="50"/>
      <x:c r="AA157" s="50"/>
      <x:c r="AB157" s="50"/>
      <x:c r="AC157" s="50"/>
      <x:c r="AD157" s="50"/>
      <x:c r="AE157" s="50"/>
      <x:c r="AF157" s="50"/>
      <x:c r="AG157" s="50"/>
      <x:c r="AH157" s="50"/>
      <x:c r="AI157" s="50"/>
      <x:c r="AJ157" s="50"/>
      <x:c r="AK157" s="50"/>
      <x:c r="AL157" s="50"/>
      <x:c r="AM157" s="50"/>
      <x:c r="AN157" s="50"/>
      <x:c r="AO157" s="50"/>
      <x:c r="AP157" s="50"/>
      <x:c r="AQ157" s="50"/>
      <x:c r="AR157" s="50"/>
      <x:c r="AS157" s="50"/>
      <x:c r="AT157" s="50"/>
      <x:c r="AU157" s="50"/>
      <x:c r="AV157" s="50"/>
    </x:row>
    <x:row r="158" ht="15.75" customHeight="1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  <x:c r="X158" s="50"/>
      <x:c r="Y158" s="50"/>
      <x:c r="Z158" s="50"/>
      <x:c r="AA158" s="50"/>
      <x:c r="AB158" s="50"/>
      <x:c r="AC158" s="50"/>
      <x:c r="AD158" s="50"/>
      <x:c r="AE158" s="50"/>
      <x:c r="AF158" s="50"/>
      <x:c r="AG158" s="50"/>
      <x:c r="AH158" s="50"/>
      <x:c r="AI158" s="50"/>
      <x:c r="AJ158" s="50"/>
      <x:c r="AK158" s="50"/>
      <x:c r="AL158" s="50"/>
      <x:c r="AM158" s="50"/>
      <x:c r="AN158" s="50"/>
      <x:c r="AO158" s="50"/>
      <x:c r="AP158" s="50"/>
      <x:c r="AQ158" s="50"/>
      <x:c r="AR158" s="50"/>
      <x:c r="AS158" s="50"/>
      <x:c r="AT158" s="50"/>
      <x:c r="AU158" s="50"/>
      <x:c r="AV158" s="50"/>
    </x:row>
    <x:row r="159" ht="15.75" customHeight="1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  <x:c r="X159" s="50"/>
      <x:c r="Y159" s="50"/>
      <x:c r="Z159" s="50"/>
      <x:c r="AA159" s="50"/>
      <x:c r="AB159" s="50"/>
      <x:c r="AC159" s="50"/>
      <x:c r="AD159" s="50"/>
      <x:c r="AE159" s="50"/>
      <x:c r="AF159" s="50"/>
      <x:c r="AG159" s="50"/>
      <x:c r="AH159" s="50"/>
      <x:c r="AI159" s="50"/>
      <x:c r="AJ159" s="50"/>
      <x:c r="AK159" s="50"/>
      <x:c r="AL159" s="50"/>
      <x:c r="AM159" s="50"/>
      <x:c r="AN159" s="50"/>
      <x:c r="AO159" s="50"/>
      <x:c r="AP159" s="50"/>
      <x:c r="AQ159" s="50"/>
      <x:c r="AR159" s="50"/>
      <x:c r="AS159" s="50"/>
      <x:c r="AT159" s="50"/>
      <x:c r="AU159" s="50"/>
      <x:c r="AV159" s="50"/>
    </x:row>
    <x:row r="160" ht="15.75" customHeight="1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  <x:c r="X160" s="50"/>
      <x:c r="Y160" s="50"/>
      <x:c r="Z160" s="50"/>
      <x:c r="AA160" s="50"/>
      <x:c r="AB160" s="50"/>
      <x:c r="AC160" s="50"/>
      <x:c r="AD160" s="50"/>
      <x:c r="AE160" s="50"/>
      <x:c r="AF160" s="50"/>
      <x:c r="AG160" s="50"/>
      <x:c r="AH160" s="50"/>
      <x:c r="AI160" s="50"/>
      <x:c r="AJ160" s="50"/>
      <x:c r="AK160" s="50"/>
      <x:c r="AL160" s="50"/>
      <x:c r="AM160" s="50"/>
      <x:c r="AN160" s="50"/>
      <x:c r="AO160" s="50"/>
      <x:c r="AP160" s="50"/>
      <x:c r="AQ160" s="50"/>
      <x:c r="AR160" s="50"/>
      <x:c r="AS160" s="50"/>
      <x:c r="AT160" s="50"/>
      <x:c r="AU160" s="50"/>
      <x:c r="AV160" s="50"/>
    </x:row>
    <x:row r="161" ht="15.75" customHeight="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  <x:c r="X161" s="50"/>
      <x:c r="Y161" s="50"/>
      <x:c r="Z161" s="50"/>
      <x:c r="AA161" s="50"/>
      <x:c r="AB161" s="50"/>
      <x:c r="AC161" s="50"/>
      <x:c r="AD161" s="50"/>
      <x:c r="AE161" s="50"/>
      <x:c r="AF161" s="50"/>
      <x:c r="AG161" s="50"/>
      <x:c r="AH161" s="50"/>
      <x:c r="AI161" s="50"/>
      <x:c r="AJ161" s="50"/>
      <x:c r="AK161" s="50"/>
      <x:c r="AL161" s="50"/>
      <x:c r="AM161" s="50"/>
      <x:c r="AN161" s="50"/>
      <x:c r="AO161" s="50"/>
      <x:c r="AP161" s="50"/>
      <x:c r="AQ161" s="50"/>
      <x:c r="AR161" s="50"/>
      <x:c r="AS161" s="50"/>
      <x:c r="AT161" s="50"/>
      <x:c r="AU161" s="50"/>
      <x:c r="AV161" s="50"/>
    </x:row>
    <x:row r="162" ht="15.75" customHeight="1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  <x:c r="X162" s="50"/>
      <x:c r="Y162" s="50"/>
      <x:c r="Z162" s="50"/>
      <x:c r="AA162" s="50"/>
      <x:c r="AB162" s="50"/>
      <x:c r="AC162" s="50"/>
      <x:c r="AD162" s="50"/>
      <x:c r="AE162" s="50"/>
      <x:c r="AF162" s="50"/>
      <x:c r="AG162" s="50"/>
      <x:c r="AH162" s="50"/>
      <x:c r="AI162" s="50"/>
      <x:c r="AJ162" s="50"/>
      <x:c r="AK162" s="50"/>
      <x:c r="AL162" s="50"/>
      <x:c r="AM162" s="50"/>
      <x:c r="AN162" s="50"/>
      <x:c r="AO162" s="50"/>
      <x:c r="AP162" s="50"/>
      <x:c r="AQ162" s="50"/>
      <x:c r="AR162" s="50"/>
      <x:c r="AS162" s="50"/>
      <x:c r="AT162" s="50"/>
      <x:c r="AU162" s="50"/>
      <x:c r="AV162" s="50"/>
    </x:row>
    <x:row r="163" ht="15.75" customHeight="1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  <x:c r="X163" s="50"/>
      <x:c r="Y163" s="50"/>
      <x:c r="Z163" s="50"/>
      <x:c r="AA163" s="50"/>
      <x:c r="AB163" s="50"/>
      <x:c r="AC163" s="50"/>
      <x:c r="AD163" s="50"/>
      <x:c r="AE163" s="50"/>
      <x:c r="AF163" s="50"/>
      <x:c r="AG163" s="50"/>
      <x:c r="AH163" s="50"/>
      <x:c r="AI163" s="50"/>
      <x:c r="AJ163" s="50"/>
      <x:c r="AK163" s="50"/>
      <x:c r="AL163" s="50"/>
      <x:c r="AM163" s="50"/>
      <x:c r="AN163" s="50"/>
      <x:c r="AO163" s="50"/>
      <x:c r="AP163" s="50"/>
      <x:c r="AQ163" s="50"/>
      <x:c r="AR163" s="50"/>
      <x:c r="AS163" s="50"/>
      <x:c r="AT163" s="50"/>
      <x:c r="AU163" s="50"/>
      <x:c r="AV163" s="50"/>
    </x:row>
    <x:row r="164" ht="15.75" customHeight="1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  <x:c r="X164" s="50"/>
      <x:c r="Y164" s="50"/>
      <x:c r="Z164" s="50"/>
      <x:c r="AA164" s="50"/>
      <x:c r="AB164" s="50"/>
      <x:c r="AC164" s="50"/>
      <x:c r="AD164" s="50"/>
      <x:c r="AE164" s="50"/>
      <x:c r="AF164" s="50"/>
      <x:c r="AG164" s="50"/>
      <x:c r="AH164" s="50"/>
      <x:c r="AI164" s="50"/>
      <x:c r="AJ164" s="50"/>
      <x:c r="AK164" s="50"/>
      <x:c r="AL164" s="50"/>
      <x:c r="AM164" s="50"/>
      <x:c r="AN164" s="50"/>
      <x:c r="AO164" s="50"/>
      <x:c r="AP164" s="50"/>
      <x:c r="AQ164" s="50"/>
      <x:c r="AR164" s="50"/>
      <x:c r="AS164" s="50"/>
      <x:c r="AT164" s="50"/>
      <x:c r="AU164" s="50"/>
      <x:c r="AV164" s="50"/>
    </x:row>
    <x:row r="165" ht="15.75" customHeight="1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  <x:c r="X165" s="50"/>
      <x:c r="Y165" s="50"/>
      <x:c r="Z165" s="50"/>
      <x:c r="AA165" s="50"/>
      <x:c r="AB165" s="50"/>
      <x:c r="AC165" s="50"/>
      <x:c r="AD165" s="50"/>
      <x:c r="AE165" s="50"/>
      <x:c r="AF165" s="50"/>
      <x:c r="AG165" s="50"/>
      <x:c r="AH165" s="50"/>
      <x:c r="AI165" s="50"/>
      <x:c r="AJ165" s="50"/>
      <x:c r="AK165" s="50"/>
      <x:c r="AL165" s="50"/>
      <x:c r="AM165" s="50"/>
      <x:c r="AN165" s="50"/>
      <x:c r="AO165" s="50"/>
      <x:c r="AP165" s="50"/>
      <x:c r="AQ165" s="50"/>
      <x:c r="AR165" s="50"/>
      <x:c r="AS165" s="50"/>
      <x:c r="AT165" s="50"/>
      <x:c r="AU165" s="50"/>
      <x:c r="AV165" s="50"/>
    </x:row>
    <x:row r="166" ht="15.75" customHeight="1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  <x:c r="X166" s="50"/>
      <x:c r="Y166" s="50"/>
      <x:c r="Z166" s="50"/>
      <x:c r="AA166" s="50"/>
      <x:c r="AB166" s="50"/>
      <x:c r="AC166" s="50"/>
      <x:c r="AD166" s="50"/>
      <x:c r="AE166" s="50"/>
      <x:c r="AF166" s="50"/>
      <x:c r="AG166" s="50"/>
      <x:c r="AH166" s="50"/>
      <x:c r="AI166" s="50"/>
      <x:c r="AJ166" s="50"/>
      <x:c r="AK166" s="50"/>
      <x:c r="AL166" s="50"/>
      <x:c r="AM166" s="50"/>
      <x:c r="AN166" s="50"/>
      <x:c r="AO166" s="50"/>
      <x:c r="AP166" s="50"/>
      <x:c r="AQ166" s="50"/>
      <x:c r="AR166" s="50"/>
      <x:c r="AS166" s="50"/>
      <x:c r="AT166" s="50"/>
      <x:c r="AU166" s="50"/>
      <x:c r="AV166" s="50"/>
    </x:row>
    <x:row r="167" ht="15.75" customHeight="1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  <x:c r="X167" s="50"/>
      <x:c r="Y167" s="50"/>
      <x:c r="Z167" s="50"/>
      <x:c r="AA167" s="50"/>
      <x:c r="AB167" s="50"/>
      <x:c r="AC167" s="50"/>
      <x:c r="AD167" s="50"/>
      <x:c r="AE167" s="50"/>
      <x:c r="AF167" s="50"/>
      <x:c r="AG167" s="50"/>
      <x:c r="AH167" s="50"/>
      <x:c r="AI167" s="50"/>
      <x:c r="AJ167" s="50"/>
      <x:c r="AK167" s="50"/>
      <x:c r="AL167" s="50"/>
      <x:c r="AM167" s="50"/>
      <x:c r="AN167" s="50"/>
      <x:c r="AO167" s="50"/>
      <x:c r="AP167" s="50"/>
      <x:c r="AQ167" s="50"/>
      <x:c r="AR167" s="50"/>
      <x:c r="AS167" s="50"/>
      <x:c r="AT167" s="50"/>
      <x:c r="AU167" s="50"/>
      <x:c r="AV167" s="50"/>
    </x:row>
    <x:row r="168" ht="15.75" customHeight="1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  <x:c r="X168" s="50"/>
      <x:c r="Y168" s="50"/>
      <x:c r="Z168" s="50"/>
      <x:c r="AA168" s="50"/>
      <x:c r="AB168" s="50"/>
      <x:c r="AC168" s="50"/>
      <x:c r="AD168" s="50"/>
      <x:c r="AE168" s="50"/>
      <x:c r="AF168" s="50"/>
      <x:c r="AG168" s="50"/>
      <x:c r="AH168" s="50"/>
      <x:c r="AI168" s="50"/>
      <x:c r="AJ168" s="50"/>
      <x:c r="AK168" s="50"/>
      <x:c r="AL168" s="50"/>
      <x:c r="AM168" s="50"/>
      <x:c r="AN168" s="50"/>
      <x:c r="AO168" s="50"/>
      <x:c r="AP168" s="50"/>
      <x:c r="AQ168" s="50"/>
      <x:c r="AR168" s="50"/>
      <x:c r="AS168" s="50"/>
      <x:c r="AT168" s="50"/>
      <x:c r="AU168" s="50"/>
      <x:c r="AV168" s="50"/>
    </x:row>
    <x:row r="169" ht="15.75" customHeight="1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  <x:c r="X169" s="50"/>
      <x:c r="Y169" s="50"/>
      <x:c r="Z169" s="50"/>
      <x:c r="AA169" s="50"/>
      <x:c r="AB169" s="50"/>
      <x:c r="AC169" s="50"/>
      <x:c r="AD169" s="50"/>
      <x:c r="AE169" s="50"/>
      <x:c r="AF169" s="50"/>
      <x:c r="AG169" s="50"/>
      <x:c r="AH169" s="50"/>
      <x:c r="AI169" s="50"/>
      <x:c r="AJ169" s="50"/>
      <x:c r="AK169" s="50"/>
      <x:c r="AL169" s="50"/>
      <x:c r="AM169" s="50"/>
      <x:c r="AN169" s="50"/>
      <x:c r="AO169" s="50"/>
      <x:c r="AP169" s="50"/>
      <x:c r="AQ169" s="50"/>
      <x:c r="AR169" s="50"/>
      <x:c r="AS169" s="50"/>
      <x:c r="AT169" s="50"/>
      <x:c r="AU169" s="50"/>
      <x:c r="AV169" s="50"/>
    </x:row>
    <x:row r="170" ht="15.75" customHeight="1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  <x:c r="X170" s="50"/>
      <x:c r="Y170" s="50"/>
      <x:c r="Z170" s="50"/>
      <x:c r="AA170" s="50"/>
      <x:c r="AB170" s="50"/>
      <x:c r="AC170" s="50"/>
      <x:c r="AD170" s="50"/>
      <x:c r="AE170" s="50"/>
      <x:c r="AF170" s="50"/>
      <x:c r="AG170" s="50"/>
      <x:c r="AH170" s="50"/>
      <x:c r="AI170" s="50"/>
      <x:c r="AJ170" s="50"/>
      <x:c r="AK170" s="50"/>
      <x:c r="AL170" s="50"/>
      <x:c r="AM170" s="50"/>
      <x:c r="AN170" s="50"/>
      <x:c r="AO170" s="50"/>
      <x:c r="AP170" s="50"/>
      <x:c r="AQ170" s="50"/>
      <x:c r="AR170" s="50"/>
      <x:c r="AS170" s="50"/>
      <x:c r="AT170" s="50"/>
      <x:c r="AU170" s="50"/>
      <x:c r="AV170" s="50"/>
    </x:row>
    <x:row r="171" ht="15.75" customHeight="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  <x:c r="X171" s="50"/>
      <x:c r="Y171" s="50"/>
      <x:c r="Z171" s="50"/>
      <x:c r="AA171" s="50"/>
      <x:c r="AB171" s="50"/>
      <x:c r="AC171" s="50"/>
      <x:c r="AD171" s="50"/>
      <x:c r="AE171" s="50"/>
      <x:c r="AF171" s="50"/>
      <x:c r="AG171" s="50"/>
      <x:c r="AH171" s="50"/>
      <x:c r="AI171" s="50"/>
      <x:c r="AJ171" s="50"/>
      <x:c r="AK171" s="50"/>
      <x:c r="AL171" s="50"/>
      <x:c r="AM171" s="50"/>
      <x:c r="AN171" s="50"/>
      <x:c r="AO171" s="50"/>
      <x:c r="AP171" s="50"/>
      <x:c r="AQ171" s="50"/>
      <x:c r="AR171" s="50"/>
      <x:c r="AS171" s="50"/>
      <x:c r="AT171" s="50"/>
      <x:c r="AU171" s="50"/>
      <x:c r="AV171" s="50"/>
    </x:row>
    <x:row r="172" ht="15.75" customHeight="1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  <x:c r="X172" s="50"/>
      <x:c r="Y172" s="50"/>
      <x:c r="Z172" s="50"/>
      <x:c r="AA172" s="50"/>
      <x:c r="AB172" s="50"/>
      <x:c r="AC172" s="50"/>
      <x:c r="AD172" s="50"/>
      <x:c r="AE172" s="50"/>
      <x:c r="AF172" s="50"/>
      <x:c r="AG172" s="50"/>
      <x:c r="AH172" s="50"/>
      <x:c r="AI172" s="50"/>
      <x:c r="AJ172" s="50"/>
      <x:c r="AK172" s="50"/>
      <x:c r="AL172" s="50"/>
      <x:c r="AM172" s="50"/>
      <x:c r="AN172" s="50"/>
      <x:c r="AO172" s="50"/>
      <x:c r="AP172" s="50"/>
      <x:c r="AQ172" s="50"/>
      <x:c r="AR172" s="50"/>
      <x:c r="AS172" s="50"/>
      <x:c r="AT172" s="50"/>
      <x:c r="AU172" s="50"/>
      <x:c r="AV172" s="50"/>
    </x:row>
    <x:row r="173" ht="15.75" customHeight="1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  <x:c r="X173" s="50"/>
      <x:c r="Y173" s="50"/>
      <x:c r="Z173" s="50"/>
      <x:c r="AA173" s="50"/>
      <x:c r="AB173" s="50"/>
      <x:c r="AC173" s="50"/>
      <x:c r="AD173" s="50"/>
      <x:c r="AE173" s="50"/>
      <x:c r="AF173" s="50"/>
      <x:c r="AG173" s="50"/>
      <x:c r="AH173" s="50"/>
      <x:c r="AI173" s="50"/>
      <x:c r="AJ173" s="50"/>
      <x:c r="AK173" s="50"/>
      <x:c r="AL173" s="50"/>
      <x:c r="AM173" s="50"/>
      <x:c r="AN173" s="50"/>
      <x:c r="AO173" s="50"/>
      <x:c r="AP173" s="50"/>
      <x:c r="AQ173" s="50"/>
      <x:c r="AR173" s="50"/>
      <x:c r="AS173" s="50"/>
      <x:c r="AT173" s="50"/>
      <x:c r="AU173" s="50"/>
      <x:c r="AV173" s="50"/>
    </x:row>
    <x:row r="174" ht="15.75" customHeight="1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  <x:c r="X174" s="50"/>
      <x:c r="Y174" s="50"/>
      <x:c r="Z174" s="50"/>
      <x:c r="AA174" s="50"/>
      <x:c r="AB174" s="50"/>
      <x:c r="AC174" s="50"/>
      <x:c r="AD174" s="50"/>
      <x:c r="AE174" s="50"/>
      <x:c r="AF174" s="50"/>
      <x:c r="AG174" s="50"/>
      <x:c r="AH174" s="50"/>
      <x:c r="AI174" s="50"/>
      <x:c r="AJ174" s="50"/>
      <x:c r="AK174" s="50"/>
      <x:c r="AL174" s="50"/>
      <x:c r="AM174" s="50"/>
      <x:c r="AN174" s="50"/>
      <x:c r="AO174" s="50"/>
      <x:c r="AP174" s="50"/>
      <x:c r="AQ174" s="50"/>
      <x:c r="AR174" s="50"/>
      <x:c r="AS174" s="50"/>
      <x:c r="AT174" s="50"/>
      <x:c r="AU174" s="50"/>
      <x:c r="AV174" s="50"/>
    </x:row>
    <x:row r="175" ht="15.75" customHeight="1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  <x:c r="X175" s="50"/>
      <x:c r="Y175" s="50"/>
      <x:c r="Z175" s="50"/>
      <x:c r="AA175" s="50"/>
      <x:c r="AB175" s="50"/>
      <x:c r="AC175" s="50"/>
      <x:c r="AD175" s="50"/>
      <x:c r="AE175" s="50"/>
      <x:c r="AF175" s="50"/>
      <x:c r="AG175" s="50"/>
      <x:c r="AH175" s="50"/>
      <x:c r="AI175" s="50"/>
      <x:c r="AJ175" s="50"/>
      <x:c r="AK175" s="50"/>
      <x:c r="AL175" s="50"/>
      <x:c r="AM175" s="50"/>
      <x:c r="AN175" s="50"/>
      <x:c r="AO175" s="50"/>
      <x:c r="AP175" s="50"/>
      <x:c r="AQ175" s="50"/>
      <x:c r="AR175" s="50"/>
      <x:c r="AS175" s="50"/>
      <x:c r="AT175" s="50"/>
      <x:c r="AU175" s="50"/>
      <x:c r="AV175" s="50"/>
    </x:row>
    <x:row r="176" ht="15.75" customHeight="1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  <x:c r="X176" s="50"/>
      <x:c r="Y176" s="50"/>
      <x:c r="Z176" s="50"/>
      <x:c r="AA176" s="50"/>
      <x:c r="AB176" s="50"/>
      <x:c r="AC176" s="50"/>
      <x:c r="AD176" s="50"/>
      <x:c r="AE176" s="50"/>
      <x:c r="AF176" s="50"/>
      <x:c r="AG176" s="50"/>
      <x:c r="AH176" s="50"/>
      <x:c r="AI176" s="50"/>
      <x:c r="AJ176" s="50"/>
      <x:c r="AK176" s="50"/>
      <x:c r="AL176" s="50"/>
      <x:c r="AM176" s="50"/>
      <x:c r="AN176" s="50"/>
      <x:c r="AO176" s="50"/>
      <x:c r="AP176" s="50"/>
      <x:c r="AQ176" s="50"/>
      <x:c r="AR176" s="50"/>
      <x:c r="AS176" s="50"/>
      <x:c r="AT176" s="50"/>
      <x:c r="AU176" s="50"/>
      <x:c r="AV176" s="50"/>
    </x:row>
    <x:row r="177" ht="15.75" customHeight="1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  <x:c r="X177" s="50"/>
      <x:c r="Y177" s="50"/>
      <x:c r="Z177" s="50"/>
      <x:c r="AA177" s="50"/>
      <x:c r="AB177" s="50"/>
      <x:c r="AC177" s="50"/>
      <x:c r="AD177" s="50"/>
      <x:c r="AE177" s="50"/>
      <x:c r="AF177" s="50"/>
      <x:c r="AG177" s="50"/>
      <x:c r="AH177" s="50"/>
      <x:c r="AI177" s="50"/>
      <x:c r="AJ177" s="50"/>
      <x:c r="AK177" s="50"/>
      <x:c r="AL177" s="50"/>
      <x:c r="AM177" s="50"/>
      <x:c r="AN177" s="50"/>
      <x:c r="AO177" s="50"/>
      <x:c r="AP177" s="50"/>
      <x:c r="AQ177" s="50"/>
      <x:c r="AR177" s="50"/>
      <x:c r="AS177" s="50"/>
      <x:c r="AT177" s="50"/>
      <x:c r="AU177" s="50"/>
      <x:c r="AV177" s="50"/>
    </x:row>
    <x:row r="178" ht="15.75" customHeight="1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  <x:c r="X178" s="50"/>
      <x:c r="Y178" s="50"/>
      <x:c r="Z178" s="50"/>
      <x:c r="AA178" s="50"/>
      <x:c r="AB178" s="50"/>
      <x:c r="AC178" s="50"/>
      <x:c r="AD178" s="50"/>
      <x:c r="AE178" s="50"/>
      <x:c r="AF178" s="50"/>
      <x:c r="AG178" s="50"/>
      <x:c r="AH178" s="50"/>
      <x:c r="AI178" s="50"/>
      <x:c r="AJ178" s="50"/>
      <x:c r="AK178" s="50"/>
      <x:c r="AL178" s="50"/>
      <x:c r="AM178" s="50"/>
      <x:c r="AN178" s="50"/>
      <x:c r="AO178" s="50"/>
      <x:c r="AP178" s="50"/>
      <x:c r="AQ178" s="50"/>
      <x:c r="AR178" s="50"/>
      <x:c r="AS178" s="50"/>
      <x:c r="AT178" s="50"/>
      <x:c r="AU178" s="50"/>
      <x:c r="AV178" s="50"/>
    </x:row>
    <x:row r="179" ht="15.75" customHeight="1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  <x:c r="X179" s="50"/>
      <x:c r="Y179" s="50"/>
      <x:c r="Z179" s="50"/>
      <x:c r="AA179" s="50"/>
      <x:c r="AB179" s="50"/>
      <x:c r="AC179" s="50"/>
      <x:c r="AD179" s="50"/>
      <x:c r="AE179" s="50"/>
      <x:c r="AF179" s="50"/>
      <x:c r="AG179" s="50"/>
      <x:c r="AH179" s="50"/>
      <x:c r="AI179" s="50"/>
      <x:c r="AJ179" s="50"/>
      <x:c r="AK179" s="50"/>
      <x:c r="AL179" s="50"/>
      <x:c r="AM179" s="50"/>
      <x:c r="AN179" s="50"/>
      <x:c r="AO179" s="50"/>
      <x:c r="AP179" s="50"/>
      <x:c r="AQ179" s="50"/>
      <x:c r="AR179" s="50"/>
      <x:c r="AS179" s="50"/>
      <x:c r="AT179" s="50"/>
      <x:c r="AU179" s="50"/>
      <x:c r="AV179" s="50"/>
    </x:row>
    <x:row r="180" ht="15.75" customHeight="1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  <x:c r="X180" s="50"/>
      <x:c r="Y180" s="50"/>
      <x:c r="Z180" s="50"/>
      <x:c r="AA180" s="50"/>
      <x:c r="AB180" s="50"/>
      <x:c r="AC180" s="50"/>
      <x:c r="AD180" s="50"/>
      <x:c r="AE180" s="50"/>
      <x:c r="AF180" s="50"/>
      <x:c r="AG180" s="50"/>
      <x:c r="AH180" s="50"/>
      <x:c r="AI180" s="50"/>
      <x:c r="AJ180" s="50"/>
      <x:c r="AK180" s="50"/>
      <x:c r="AL180" s="50"/>
      <x:c r="AM180" s="50"/>
      <x:c r="AN180" s="50"/>
      <x:c r="AO180" s="50"/>
      <x:c r="AP180" s="50"/>
      <x:c r="AQ180" s="50"/>
      <x:c r="AR180" s="50"/>
      <x:c r="AS180" s="50"/>
      <x:c r="AT180" s="50"/>
      <x:c r="AU180" s="50"/>
      <x:c r="AV180" s="50"/>
    </x:row>
    <x:row r="181" ht="15.75" customHeight="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  <x:c r="X181" s="50"/>
      <x:c r="Y181" s="50"/>
      <x:c r="Z181" s="50"/>
      <x:c r="AA181" s="50"/>
      <x:c r="AB181" s="50"/>
      <x:c r="AC181" s="50"/>
      <x:c r="AD181" s="50"/>
      <x:c r="AE181" s="50"/>
      <x:c r="AF181" s="50"/>
      <x:c r="AG181" s="50"/>
      <x:c r="AH181" s="50"/>
      <x:c r="AI181" s="50"/>
      <x:c r="AJ181" s="50"/>
      <x:c r="AK181" s="50"/>
      <x:c r="AL181" s="50"/>
      <x:c r="AM181" s="50"/>
      <x:c r="AN181" s="50"/>
      <x:c r="AO181" s="50"/>
      <x:c r="AP181" s="50"/>
      <x:c r="AQ181" s="50"/>
      <x:c r="AR181" s="50"/>
      <x:c r="AS181" s="50"/>
      <x:c r="AT181" s="50"/>
      <x:c r="AU181" s="50"/>
      <x:c r="AV181" s="50"/>
    </x:row>
    <x:row r="182" ht="15.75" customHeight="1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  <x:c r="X182" s="50"/>
      <x:c r="Y182" s="50"/>
      <x:c r="Z182" s="50"/>
      <x:c r="AA182" s="50"/>
      <x:c r="AB182" s="50"/>
      <x:c r="AC182" s="50"/>
      <x:c r="AD182" s="50"/>
      <x:c r="AE182" s="50"/>
      <x:c r="AF182" s="50"/>
      <x:c r="AG182" s="50"/>
      <x:c r="AH182" s="50"/>
      <x:c r="AI182" s="50"/>
      <x:c r="AJ182" s="50"/>
      <x:c r="AK182" s="50"/>
      <x:c r="AL182" s="50"/>
      <x:c r="AM182" s="50"/>
      <x:c r="AN182" s="50"/>
      <x:c r="AO182" s="50"/>
      <x:c r="AP182" s="50"/>
      <x:c r="AQ182" s="50"/>
      <x:c r="AR182" s="50"/>
      <x:c r="AS182" s="50"/>
      <x:c r="AT182" s="50"/>
      <x:c r="AU182" s="50"/>
      <x:c r="AV182" s="50"/>
    </x:row>
    <x:row r="183" ht="15.75" customHeight="1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  <x:c r="X183" s="50"/>
      <x:c r="Y183" s="50"/>
      <x:c r="Z183" s="50"/>
      <x:c r="AA183" s="50"/>
      <x:c r="AB183" s="50"/>
      <x:c r="AC183" s="50"/>
      <x:c r="AD183" s="50"/>
      <x:c r="AE183" s="50"/>
      <x:c r="AF183" s="50"/>
      <x:c r="AG183" s="50"/>
      <x:c r="AH183" s="50"/>
      <x:c r="AI183" s="50"/>
      <x:c r="AJ183" s="50"/>
      <x:c r="AK183" s="50"/>
      <x:c r="AL183" s="50"/>
      <x:c r="AM183" s="50"/>
      <x:c r="AN183" s="50"/>
      <x:c r="AO183" s="50"/>
      <x:c r="AP183" s="50"/>
      <x:c r="AQ183" s="50"/>
      <x:c r="AR183" s="50"/>
      <x:c r="AS183" s="50"/>
      <x:c r="AT183" s="50"/>
      <x:c r="AU183" s="50"/>
      <x:c r="AV183" s="50"/>
    </x:row>
    <x:row r="184" ht="15.75" customHeight="1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  <x:c r="X184" s="50"/>
      <x:c r="Y184" s="50"/>
      <x:c r="Z184" s="50"/>
      <x:c r="AA184" s="50"/>
      <x:c r="AB184" s="50"/>
      <x:c r="AC184" s="50"/>
      <x:c r="AD184" s="50"/>
      <x:c r="AE184" s="50"/>
      <x:c r="AF184" s="50"/>
      <x:c r="AG184" s="50"/>
      <x:c r="AH184" s="50"/>
      <x:c r="AI184" s="50"/>
      <x:c r="AJ184" s="50"/>
      <x:c r="AK184" s="50"/>
      <x:c r="AL184" s="50"/>
      <x:c r="AM184" s="50"/>
      <x:c r="AN184" s="50"/>
      <x:c r="AO184" s="50"/>
      <x:c r="AP184" s="50"/>
      <x:c r="AQ184" s="50"/>
      <x:c r="AR184" s="50"/>
      <x:c r="AS184" s="50"/>
      <x:c r="AT184" s="50"/>
      <x:c r="AU184" s="50"/>
      <x:c r="AV184" s="50"/>
    </x:row>
    <x:row r="185" ht="15.75" customHeight="1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  <x:c r="X185" s="50"/>
      <x:c r="Y185" s="50"/>
      <x:c r="Z185" s="50"/>
      <x:c r="AA185" s="50"/>
      <x:c r="AB185" s="50"/>
      <x:c r="AC185" s="50"/>
      <x:c r="AD185" s="50"/>
      <x:c r="AE185" s="50"/>
      <x:c r="AF185" s="50"/>
      <x:c r="AG185" s="50"/>
      <x:c r="AH185" s="50"/>
      <x:c r="AI185" s="50"/>
      <x:c r="AJ185" s="50"/>
      <x:c r="AK185" s="50"/>
      <x:c r="AL185" s="50"/>
      <x:c r="AM185" s="50"/>
      <x:c r="AN185" s="50"/>
      <x:c r="AO185" s="50"/>
      <x:c r="AP185" s="50"/>
      <x:c r="AQ185" s="50"/>
      <x:c r="AR185" s="50"/>
      <x:c r="AS185" s="50"/>
      <x:c r="AT185" s="50"/>
      <x:c r="AU185" s="50"/>
      <x:c r="AV185" s="50"/>
    </x:row>
    <x:row r="186" ht="15.75" customHeight="1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  <x:c r="X186" s="50"/>
      <x:c r="Y186" s="50"/>
      <x:c r="Z186" s="50"/>
      <x:c r="AA186" s="50"/>
      <x:c r="AB186" s="50"/>
      <x:c r="AC186" s="50"/>
      <x:c r="AD186" s="50"/>
      <x:c r="AE186" s="50"/>
      <x:c r="AF186" s="50"/>
      <x:c r="AG186" s="50"/>
      <x:c r="AH186" s="50"/>
      <x:c r="AI186" s="50"/>
      <x:c r="AJ186" s="50"/>
      <x:c r="AK186" s="50"/>
      <x:c r="AL186" s="50"/>
      <x:c r="AM186" s="50"/>
      <x:c r="AN186" s="50"/>
      <x:c r="AO186" s="50"/>
      <x:c r="AP186" s="50"/>
      <x:c r="AQ186" s="50"/>
      <x:c r="AR186" s="50"/>
      <x:c r="AS186" s="50"/>
      <x:c r="AT186" s="50"/>
      <x:c r="AU186" s="50"/>
      <x:c r="AV186" s="50"/>
    </x:row>
    <x:row r="187" ht="15.75" customHeight="1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  <x:c r="X187" s="50"/>
      <x:c r="Y187" s="50"/>
      <x:c r="Z187" s="50"/>
      <x:c r="AA187" s="50"/>
      <x:c r="AB187" s="50"/>
      <x:c r="AC187" s="50"/>
      <x:c r="AD187" s="50"/>
      <x:c r="AE187" s="50"/>
      <x:c r="AF187" s="50"/>
      <x:c r="AG187" s="50"/>
      <x:c r="AH187" s="50"/>
      <x:c r="AI187" s="50"/>
      <x:c r="AJ187" s="50"/>
      <x:c r="AK187" s="50"/>
      <x:c r="AL187" s="50"/>
      <x:c r="AM187" s="50"/>
      <x:c r="AN187" s="50"/>
      <x:c r="AO187" s="50"/>
      <x:c r="AP187" s="50"/>
      <x:c r="AQ187" s="50"/>
      <x:c r="AR187" s="50"/>
      <x:c r="AS187" s="50"/>
      <x:c r="AT187" s="50"/>
      <x:c r="AU187" s="50"/>
      <x:c r="AV187" s="50"/>
    </x:row>
    <x:row r="188" ht="15.75" customHeight="1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  <x:c r="X188" s="50"/>
      <x:c r="Y188" s="50"/>
      <x:c r="Z188" s="50"/>
      <x:c r="AA188" s="50"/>
      <x:c r="AB188" s="50"/>
      <x:c r="AC188" s="50"/>
      <x:c r="AD188" s="50"/>
      <x:c r="AE188" s="50"/>
      <x:c r="AF188" s="50"/>
      <x:c r="AG188" s="50"/>
      <x:c r="AH188" s="50"/>
      <x:c r="AI188" s="50"/>
      <x:c r="AJ188" s="50"/>
      <x:c r="AK188" s="50"/>
      <x:c r="AL188" s="50"/>
      <x:c r="AM188" s="50"/>
      <x:c r="AN188" s="50"/>
      <x:c r="AO188" s="50"/>
      <x:c r="AP188" s="50"/>
      <x:c r="AQ188" s="50"/>
      <x:c r="AR188" s="50"/>
      <x:c r="AS188" s="50"/>
      <x:c r="AT188" s="50"/>
      <x:c r="AU188" s="50"/>
      <x:c r="AV188" s="50"/>
    </x:row>
    <x:row r="189" ht="15.75" customHeight="1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  <x:c r="X189" s="50"/>
      <x:c r="Y189" s="50"/>
      <x:c r="Z189" s="50"/>
      <x:c r="AA189" s="50"/>
      <x:c r="AB189" s="50"/>
      <x:c r="AC189" s="50"/>
      <x:c r="AD189" s="50"/>
      <x:c r="AE189" s="50"/>
      <x:c r="AF189" s="50"/>
      <x:c r="AG189" s="50"/>
      <x:c r="AH189" s="50"/>
      <x:c r="AI189" s="50"/>
      <x:c r="AJ189" s="50"/>
      <x:c r="AK189" s="50"/>
      <x:c r="AL189" s="50"/>
      <x:c r="AM189" s="50"/>
      <x:c r="AN189" s="50"/>
      <x:c r="AO189" s="50"/>
      <x:c r="AP189" s="50"/>
      <x:c r="AQ189" s="50"/>
      <x:c r="AR189" s="50"/>
      <x:c r="AS189" s="50"/>
      <x:c r="AT189" s="50"/>
      <x:c r="AU189" s="50"/>
      <x:c r="AV189" s="50"/>
    </x:row>
    <x:row r="190" ht="15.75" customHeight="1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  <x:c r="X190" s="50"/>
      <x:c r="Y190" s="50"/>
      <x:c r="Z190" s="50"/>
      <x:c r="AA190" s="50"/>
      <x:c r="AB190" s="50"/>
      <x:c r="AC190" s="50"/>
      <x:c r="AD190" s="50"/>
      <x:c r="AE190" s="50"/>
      <x:c r="AF190" s="50"/>
      <x:c r="AG190" s="50"/>
      <x:c r="AH190" s="50"/>
      <x:c r="AI190" s="50"/>
      <x:c r="AJ190" s="50"/>
      <x:c r="AK190" s="50"/>
      <x:c r="AL190" s="50"/>
      <x:c r="AM190" s="50"/>
      <x:c r="AN190" s="50"/>
      <x:c r="AO190" s="50"/>
      <x:c r="AP190" s="50"/>
      <x:c r="AQ190" s="50"/>
      <x:c r="AR190" s="50"/>
      <x:c r="AS190" s="50"/>
      <x:c r="AT190" s="50"/>
      <x:c r="AU190" s="50"/>
      <x:c r="AV190" s="50"/>
    </x:row>
    <x:row r="191" ht="15.75" customHeight="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  <x:c r="X191" s="50"/>
      <x:c r="Y191" s="50"/>
      <x:c r="Z191" s="50"/>
      <x:c r="AA191" s="50"/>
      <x:c r="AB191" s="50"/>
      <x:c r="AC191" s="50"/>
      <x:c r="AD191" s="50"/>
      <x:c r="AE191" s="50"/>
      <x:c r="AF191" s="50"/>
      <x:c r="AG191" s="50"/>
      <x:c r="AH191" s="50"/>
      <x:c r="AI191" s="50"/>
      <x:c r="AJ191" s="50"/>
      <x:c r="AK191" s="50"/>
      <x:c r="AL191" s="50"/>
      <x:c r="AM191" s="50"/>
      <x:c r="AN191" s="50"/>
      <x:c r="AO191" s="50"/>
      <x:c r="AP191" s="50"/>
      <x:c r="AQ191" s="50"/>
      <x:c r="AR191" s="50"/>
      <x:c r="AS191" s="50"/>
      <x:c r="AT191" s="50"/>
      <x:c r="AU191" s="50"/>
      <x:c r="AV191" s="50"/>
    </x:row>
    <x:row r="192" ht="15.75" customHeight="1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  <x:c r="X192" s="50"/>
      <x:c r="Y192" s="50"/>
      <x:c r="Z192" s="50"/>
      <x:c r="AA192" s="50"/>
      <x:c r="AB192" s="50"/>
      <x:c r="AC192" s="50"/>
      <x:c r="AD192" s="50"/>
      <x:c r="AE192" s="50"/>
      <x:c r="AF192" s="50"/>
      <x:c r="AG192" s="50"/>
      <x:c r="AH192" s="50"/>
      <x:c r="AI192" s="50"/>
      <x:c r="AJ192" s="50"/>
      <x:c r="AK192" s="50"/>
      <x:c r="AL192" s="50"/>
      <x:c r="AM192" s="50"/>
      <x:c r="AN192" s="50"/>
      <x:c r="AO192" s="50"/>
      <x:c r="AP192" s="50"/>
      <x:c r="AQ192" s="50"/>
      <x:c r="AR192" s="50"/>
      <x:c r="AS192" s="50"/>
      <x:c r="AT192" s="50"/>
      <x:c r="AU192" s="50"/>
      <x:c r="AV192" s="50"/>
    </x:row>
    <x:row r="193" ht="15.75" customHeight="1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  <x:c r="X193" s="50"/>
      <x:c r="Y193" s="50"/>
      <x:c r="Z193" s="50"/>
      <x:c r="AA193" s="50"/>
      <x:c r="AB193" s="50"/>
      <x:c r="AC193" s="50"/>
      <x:c r="AD193" s="50"/>
      <x:c r="AE193" s="50"/>
      <x:c r="AF193" s="50"/>
      <x:c r="AG193" s="50"/>
      <x:c r="AH193" s="50"/>
      <x:c r="AI193" s="50"/>
      <x:c r="AJ193" s="50"/>
      <x:c r="AK193" s="50"/>
      <x:c r="AL193" s="50"/>
      <x:c r="AM193" s="50"/>
      <x:c r="AN193" s="50"/>
      <x:c r="AO193" s="50"/>
      <x:c r="AP193" s="50"/>
      <x:c r="AQ193" s="50"/>
      <x:c r="AR193" s="50"/>
      <x:c r="AS193" s="50"/>
      <x:c r="AT193" s="50"/>
      <x:c r="AU193" s="50"/>
      <x:c r="AV193" s="50"/>
    </x:row>
    <x:row r="194" ht="15.75" customHeight="1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  <x:c r="X194" s="50"/>
      <x:c r="Y194" s="50"/>
      <x:c r="Z194" s="50"/>
      <x:c r="AA194" s="50"/>
      <x:c r="AB194" s="50"/>
      <x:c r="AC194" s="50"/>
      <x:c r="AD194" s="50"/>
      <x:c r="AE194" s="50"/>
      <x:c r="AF194" s="50"/>
      <x:c r="AG194" s="50"/>
      <x:c r="AH194" s="50"/>
      <x:c r="AI194" s="50"/>
      <x:c r="AJ194" s="50"/>
      <x:c r="AK194" s="50"/>
      <x:c r="AL194" s="50"/>
      <x:c r="AM194" s="50"/>
      <x:c r="AN194" s="50"/>
      <x:c r="AO194" s="50"/>
      <x:c r="AP194" s="50"/>
      <x:c r="AQ194" s="50"/>
      <x:c r="AR194" s="50"/>
      <x:c r="AS194" s="50"/>
      <x:c r="AT194" s="50"/>
      <x:c r="AU194" s="50"/>
      <x:c r="AV194" s="50"/>
    </x:row>
    <x:row r="195" ht="15.75" customHeight="1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  <x:c r="X195" s="50"/>
      <x:c r="Y195" s="50"/>
      <x:c r="Z195" s="50"/>
      <x:c r="AA195" s="50"/>
      <x:c r="AB195" s="50"/>
      <x:c r="AC195" s="50"/>
      <x:c r="AD195" s="50"/>
      <x:c r="AE195" s="50"/>
      <x:c r="AF195" s="50"/>
      <x:c r="AG195" s="50"/>
      <x:c r="AH195" s="50"/>
      <x:c r="AI195" s="50"/>
      <x:c r="AJ195" s="50"/>
      <x:c r="AK195" s="50"/>
      <x:c r="AL195" s="50"/>
      <x:c r="AM195" s="50"/>
      <x:c r="AN195" s="50"/>
      <x:c r="AO195" s="50"/>
      <x:c r="AP195" s="50"/>
      <x:c r="AQ195" s="50"/>
      <x:c r="AR195" s="50"/>
      <x:c r="AS195" s="50"/>
      <x:c r="AT195" s="50"/>
      <x:c r="AU195" s="50"/>
      <x:c r="AV195" s="50"/>
    </x:row>
    <x:row r="196" ht="15.75" customHeight="1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  <x:c r="X196" s="50"/>
      <x:c r="Y196" s="50"/>
      <x:c r="Z196" s="50"/>
      <x:c r="AA196" s="50"/>
      <x:c r="AB196" s="50"/>
      <x:c r="AC196" s="50"/>
      <x:c r="AD196" s="50"/>
      <x:c r="AE196" s="50"/>
      <x:c r="AF196" s="50"/>
      <x:c r="AG196" s="50"/>
      <x:c r="AH196" s="50"/>
      <x:c r="AI196" s="50"/>
      <x:c r="AJ196" s="50"/>
      <x:c r="AK196" s="50"/>
      <x:c r="AL196" s="50"/>
      <x:c r="AM196" s="50"/>
      <x:c r="AN196" s="50"/>
      <x:c r="AO196" s="50"/>
      <x:c r="AP196" s="50"/>
      <x:c r="AQ196" s="50"/>
      <x:c r="AR196" s="50"/>
      <x:c r="AS196" s="50"/>
      <x:c r="AT196" s="50"/>
      <x:c r="AU196" s="50"/>
      <x:c r="AV196" s="50"/>
    </x:row>
    <x:row r="197" ht="15.75" customHeight="1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  <x:c r="X197" s="50"/>
      <x:c r="Y197" s="50"/>
      <x:c r="Z197" s="50"/>
      <x:c r="AA197" s="50"/>
      <x:c r="AB197" s="50"/>
      <x:c r="AC197" s="50"/>
      <x:c r="AD197" s="50"/>
      <x:c r="AE197" s="50"/>
      <x:c r="AF197" s="50"/>
      <x:c r="AG197" s="50"/>
      <x:c r="AH197" s="50"/>
      <x:c r="AI197" s="50"/>
      <x:c r="AJ197" s="50"/>
      <x:c r="AK197" s="50"/>
      <x:c r="AL197" s="50"/>
      <x:c r="AM197" s="50"/>
      <x:c r="AN197" s="50"/>
      <x:c r="AO197" s="50"/>
      <x:c r="AP197" s="50"/>
      <x:c r="AQ197" s="50"/>
      <x:c r="AR197" s="50"/>
      <x:c r="AS197" s="50"/>
      <x:c r="AT197" s="50"/>
      <x:c r="AU197" s="50"/>
      <x:c r="AV197" s="50"/>
    </x:row>
    <x:row r="198" ht="15.75" customHeight="1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  <x:c r="X198" s="50"/>
      <x:c r="Y198" s="50"/>
      <x:c r="Z198" s="50"/>
      <x:c r="AA198" s="50"/>
      <x:c r="AB198" s="50"/>
      <x:c r="AC198" s="50"/>
      <x:c r="AD198" s="50"/>
      <x:c r="AE198" s="50"/>
      <x:c r="AF198" s="50"/>
      <x:c r="AG198" s="50"/>
      <x:c r="AH198" s="50"/>
      <x:c r="AI198" s="50"/>
      <x:c r="AJ198" s="50"/>
      <x:c r="AK198" s="50"/>
      <x:c r="AL198" s="50"/>
      <x:c r="AM198" s="50"/>
      <x:c r="AN198" s="50"/>
      <x:c r="AO198" s="50"/>
      <x:c r="AP198" s="50"/>
      <x:c r="AQ198" s="50"/>
      <x:c r="AR198" s="50"/>
      <x:c r="AS198" s="50"/>
      <x:c r="AT198" s="50"/>
      <x:c r="AU198" s="50"/>
      <x:c r="AV198" s="50"/>
    </x:row>
    <x:row r="199" ht="15.75" customHeight="1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  <x:c r="X199" s="50"/>
      <x:c r="Y199" s="50"/>
      <x:c r="Z199" s="50"/>
      <x:c r="AA199" s="50"/>
      <x:c r="AB199" s="50"/>
      <x:c r="AC199" s="50"/>
      <x:c r="AD199" s="50"/>
      <x:c r="AE199" s="50"/>
      <x:c r="AF199" s="50"/>
      <x:c r="AG199" s="50"/>
      <x:c r="AH199" s="50"/>
      <x:c r="AI199" s="50"/>
      <x:c r="AJ199" s="50"/>
      <x:c r="AK199" s="50"/>
      <x:c r="AL199" s="50"/>
      <x:c r="AM199" s="50"/>
      <x:c r="AN199" s="50"/>
      <x:c r="AO199" s="50"/>
      <x:c r="AP199" s="50"/>
      <x:c r="AQ199" s="50"/>
      <x:c r="AR199" s="50"/>
      <x:c r="AS199" s="50"/>
      <x:c r="AT199" s="50"/>
      <x:c r="AU199" s="50"/>
      <x:c r="AV199" s="50"/>
    </x:row>
    <x:row r="200" ht="15.75" customHeight="1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  <x:c r="X200" s="50"/>
      <x:c r="Y200" s="50"/>
      <x:c r="Z200" s="50"/>
      <x:c r="AA200" s="50"/>
      <x:c r="AB200" s="50"/>
      <x:c r="AC200" s="50"/>
      <x:c r="AD200" s="50"/>
      <x:c r="AE200" s="50"/>
      <x:c r="AF200" s="50"/>
      <x:c r="AG200" s="50"/>
      <x:c r="AH200" s="50"/>
      <x:c r="AI200" s="50"/>
      <x:c r="AJ200" s="50"/>
      <x:c r="AK200" s="50"/>
      <x:c r="AL200" s="50"/>
      <x:c r="AM200" s="50"/>
      <x:c r="AN200" s="50"/>
      <x:c r="AO200" s="50"/>
      <x:c r="AP200" s="50"/>
      <x:c r="AQ200" s="50"/>
      <x:c r="AR200" s="50"/>
      <x:c r="AS200" s="50"/>
      <x:c r="AT200" s="50"/>
      <x:c r="AU200" s="50"/>
      <x:c r="AV200" s="50"/>
    </x:row>
    <x:row r="201" ht="15.75" customHeight="1">
      <x:c r="A201" s="50"/>
      <x:c r="B201" s="50"/>
      <x:c r="C201" s="50"/>
      <x:c r="D201" s="50"/>
      <x:c r="E201" s="50"/>
      <x:c r="F201" s="50"/>
      <x:c r="G201" s="50"/>
      <x:c r="H201" s="50"/>
      <x:c r="I201" s="50"/>
      <x:c r="J201" s="50"/>
      <x:c r="K201" s="50"/>
      <x:c r="L201" s="50"/>
      <x:c r="M201" s="50"/>
      <x:c r="N201" s="50"/>
      <x:c r="O201" s="50"/>
      <x:c r="P201" s="50"/>
      <x:c r="Q201" s="50"/>
      <x:c r="R201" s="50"/>
      <x:c r="S201" s="50"/>
      <x:c r="T201" s="50"/>
      <x:c r="U201" s="50"/>
      <x:c r="V201" s="50"/>
      <x:c r="W201" s="50"/>
      <x:c r="X201" s="50"/>
      <x:c r="Y201" s="50"/>
      <x:c r="Z201" s="50"/>
      <x:c r="AA201" s="50"/>
      <x:c r="AB201" s="50"/>
      <x:c r="AC201" s="50"/>
      <x:c r="AD201" s="50"/>
      <x:c r="AE201" s="50"/>
      <x:c r="AF201" s="50"/>
      <x:c r="AG201" s="50"/>
      <x:c r="AH201" s="50"/>
      <x:c r="AI201" s="50"/>
      <x:c r="AJ201" s="50"/>
      <x:c r="AK201" s="50"/>
      <x:c r="AL201" s="50"/>
      <x:c r="AM201" s="50"/>
      <x:c r="AN201" s="50"/>
      <x:c r="AO201" s="50"/>
      <x:c r="AP201" s="50"/>
      <x:c r="AQ201" s="50"/>
      <x:c r="AR201" s="50"/>
      <x:c r="AS201" s="50"/>
      <x:c r="AT201" s="50"/>
      <x:c r="AU201" s="50"/>
      <x:c r="AV201" s="50"/>
    </x:row>
    <x:row r="202" ht="15.75" customHeight="1">
      <x:c r="A202" s="50"/>
      <x:c r="B202" s="50"/>
      <x:c r="C202" s="50"/>
      <x:c r="D202" s="50"/>
      <x:c r="E202" s="50"/>
      <x:c r="F202" s="50"/>
      <x:c r="G202" s="50"/>
      <x:c r="H202" s="50"/>
      <x:c r="I202" s="50"/>
      <x:c r="J202" s="50"/>
      <x:c r="K202" s="50"/>
      <x:c r="L202" s="50"/>
      <x:c r="M202" s="50"/>
      <x:c r="N202" s="50"/>
      <x:c r="O202" s="50"/>
      <x:c r="P202" s="50"/>
      <x:c r="Q202" s="50"/>
      <x:c r="R202" s="50"/>
      <x:c r="S202" s="50"/>
      <x:c r="T202" s="50"/>
      <x:c r="U202" s="50"/>
      <x:c r="V202" s="50"/>
      <x:c r="W202" s="50"/>
      <x:c r="X202" s="50"/>
      <x:c r="Y202" s="50"/>
      <x:c r="Z202" s="50"/>
      <x:c r="AA202" s="50"/>
      <x:c r="AB202" s="50"/>
      <x:c r="AC202" s="50"/>
      <x:c r="AD202" s="50"/>
      <x:c r="AE202" s="50"/>
      <x:c r="AF202" s="50"/>
      <x:c r="AG202" s="50"/>
      <x:c r="AH202" s="50"/>
      <x:c r="AI202" s="50"/>
      <x:c r="AJ202" s="50"/>
      <x:c r="AK202" s="50"/>
      <x:c r="AL202" s="50"/>
      <x:c r="AM202" s="50"/>
      <x:c r="AN202" s="50"/>
      <x:c r="AO202" s="50"/>
      <x:c r="AP202" s="50"/>
      <x:c r="AQ202" s="50"/>
      <x:c r="AR202" s="50"/>
      <x:c r="AS202" s="50"/>
      <x:c r="AT202" s="50"/>
      <x:c r="AU202" s="50"/>
      <x:c r="AV202" s="50"/>
    </x:row>
    <x:row r="203" ht="15.75" customHeight="1">
      <x:c r="A203" s="50"/>
      <x:c r="B203" s="50"/>
      <x:c r="C203" s="50"/>
      <x:c r="D203" s="50"/>
      <x:c r="E203" s="50"/>
      <x:c r="F203" s="50"/>
      <x:c r="G203" s="50"/>
      <x:c r="H203" s="50"/>
      <x:c r="I203" s="50"/>
      <x:c r="J203" s="50"/>
      <x:c r="K203" s="50"/>
      <x:c r="L203" s="50"/>
      <x:c r="M203" s="50"/>
      <x:c r="N203" s="50"/>
      <x:c r="O203" s="50"/>
      <x:c r="P203" s="50"/>
      <x:c r="Q203" s="50"/>
      <x:c r="R203" s="50"/>
      <x:c r="S203" s="50"/>
      <x:c r="T203" s="50"/>
      <x:c r="U203" s="50"/>
      <x:c r="V203" s="50"/>
      <x:c r="W203" s="50"/>
      <x:c r="X203" s="50"/>
      <x:c r="Y203" s="50"/>
      <x:c r="Z203" s="50"/>
      <x:c r="AA203" s="50"/>
      <x:c r="AB203" s="50"/>
      <x:c r="AC203" s="50"/>
      <x:c r="AD203" s="50"/>
      <x:c r="AE203" s="50"/>
      <x:c r="AF203" s="50"/>
      <x:c r="AG203" s="50"/>
      <x:c r="AH203" s="50"/>
      <x:c r="AI203" s="50"/>
      <x:c r="AJ203" s="50"/>
      <x:c r="AK203" s="50"/>
      <x:c r="AL203" s="50"/>
      <x:c r="AM203" s="50"/>
      <x:c r="AN203" s="50"/>
      <x:c r="AO203" s="50"/>
      <x:c r="AP203" s="50"/>
      <x:c r="AQ203" s="50"/>
      <x:c r="AR203" s="50"/>
      <x:c r="AS203" s="50"/>
      <x:c r="AT203" s="50"/>
      <x:c r="AU203" s="50"/>
      <x:c r="AV203" s="50"/>
    </x:row>
    <x:row r="204" ht="15.75" customHeight="1">
      <x:c r="A204" s="50"/>
      <x:c r="B204" s="50"/>
      <x:c r="C204" s="50"/>
      <x:c r="D204" s="50"/>
      <x:c r="E204" s="50"/>
      <x:c r="F204" s="50"/>
      <x:c r="G204" s="50"/>
      <x:c r="H204" s="50"/>
      <x:c r="I204" s="50"/>
      <x:c r="J204" s="50"/>
      <x:c r="K204" s="50"/>
      <x:c r="L204" s="50"/>
      <x:c r="M204" s="50"/>
      <x:c r="N204" s="50"/>
      <x:c r="O204" s="50"/>
      <x:c r="P204" s="50"/>
      <x:c r="Q204" s="50"/>
      <x:c r="R204" s="50"/>
      <x:c r="S204" s="50"/>
      <x:c r="T204" s="50"/>
      <x:c r="U204" s="50"/>
      <x:c r="V204" s="50"/>
      <x:c r="W204" s="50"/>
      <x:c r="X204" s="50"/>
      <x:c r="Y204" s="50"/>
      <x:c r="Z204" s="50"/>
      <x:c r="AA204" s="50"/>
      <x:c r="AB204" s="50"/>
      <x:c r="AC204" s="50"/>
      <x:c r="AD204" s="50"/>
      <x:c r="AE204" s="50"/>
      <x:c r="AF204" s="50"/>
      <x:c r="AG204" s="50"/>
      <x:c r="AH204" s="50"/>
      <x:c r="AI204" s="50"/>
      <x:c r="AJ204" s="50"/>
      <x:c r="AK204" s="50"/>
      <x:c r="AL204" s="50"/>
      <x:c r="AM204" s="50"/>
      <x:c r="AN204" s="50"/>
      <x:c r="AO204" s="50"/>
      <x:c r="AP204" s="50"/>
      <x:c r="AQ204" s="50"/>
      <x:c r="AR204" s="50"/>
      <x:c r="AS204" s="50"/>
      <x:c r="AT204" s="50"/>
      <x:c r="AU204" s="50"/>
      <x:c r="AV204" s="50"/>
    </x:row>
    <x:row r="205" ht="15.75" customHeight="1">
      <x:c r="A205" s="50"/>
      <x:c r="B205" s="50"/>
      <x:c r="C205" s="50"/>
      <x:c r="D205" s="50"/>
      <x:c r="E205" s="50"/>
      <x:c r="F205" s="50"/>
      <x:c r="G205" s="50"/>
      <x:c r="H205" s="50"/>
      <x:c r="I205" s="50"/>
      <x:c r="J205" s="50"/>
      <x:c r="K205" s="50"/>
      <x:c r="L205" s="50"/>
      <x:c r="M205" s="50"/>
      <x:c r="N205" s="50"/>
      <x:c r="O205" s="50"/>
      <x:c r="P205" s="50"/>
      <x:c r="Q205" s="50"/>
      <x:c r="R205" s="50"/>
      <x:c r="S205" s="50"/>
      <x:c r="T205" s="50"/>
      <x:c r="U205" s="50"/>
      <x:c r="V205" s="50"/>
      <x:c r="W205" s="50"/>
      <x:c r="X205" s="50"/>
      <x:c r="Y205" s="50"/>
      <x:c r="Z205" s="50"/>
      <x:c r="AA205" s="50"/>
      <x:c r="AB205" s="50"/>
      <x:c r="AC205" s="50"/>
      <x:c r="AD205" s="50"/>
      <x:c r="AE205" s="50"/>
      <x:c r="AF205" s="50"/>
      <x:c r="AG205" s="50"/>
      <x:c r="AH205" s="50"/>
      <x:c r="AI205" s="50"/>
      <x:c r="AJ205" s="50"/>
      <x:c r="AK205" s="50"/>
      <x:c r="AL205" s="50"/>
      <x:c r="AM205" s="50"/>
      <x:c r="AN205" s="50"/>
      <x:c r="AO205" s="50"/>
      <x:c r="AP205" s="50"/>
      <x:c r="AQ205" s="50"/>
      <x:c r="AR205" s="50"/>
      <x:c r="AS205" s="50"/>
      <x:c r="AT205" s="50"/>
      <x:c r="AU205" s="50"/>
      <x:c r="AV205" s="50"/>
    </x:row>
    <x:row r="206" ht="15.75" customHeight="1">
      <x:c r="A206" s="50"/>
      <x:c r="B206" s="50"/>
      <x:c r="C206" s="50"/>
      <x:c r="D206" s="50"/>
      <x:c r="E206" s="50"/>
      <x:c r="F206" s="50"/>
      <x:c r="G206" s="50"/>
      <x:c r="H206" s="50"/>
      <x:c r="I206" s="50"/>
      <x:c r="J206" s="50"/>
      <x:c r="K206" s="50"/>
      <x:c r="L206" s="50"/>
      <x:c r="M206" s="50"/>
      <x:c r="N206" s="50"/>
      <x:c r="O206" s="50"/>
      <x:c r="P206" s="50"/>
      <x:c r="Q206" s="50"/>
      <x:c r="R206" s="50"/>
      <x:c r="S206" s="50"/>
      <x:c r="T206" s="50"/>
      <x:c r="U206" s="50"/>
      <x:c r="V206" s="50"/>
      <x:c r="W206" s="50"/>
      <x:c r="X206" s="50"/>
      <x:c r="Y206" s="50"/>
      <x:c r="Z206" s="50"/>
      <x:c r="AA206" s="50"/>
      <x:c r="AB206" s="50"/>
      <x:c r="AC206" s="50"/>
      <x:c r="AD206" s="50"/>
      <x:c r="AE206" s="50"/>
      <x:c r="AF206" s="50"/>
      <x:c r="AG206" s="50"/>
      <x:c r="AH206" s="50"/>
      <x:c r="AI206" s="50"/>
      <x:c r="AJ206" s="50"/>
      <x:c r="AK206" s="50"/>
      <x:c r="AL206" s="50"/>
      <x:c r="AM206" s="50"/>
      <x:c r="AN206" s="50"/>
      <x:c r="AO206" s="50"/>
      <x:c r="AP206" s="50"/>
      <x:c r="AQ206" s="50"/>
      <x:c r="AR206" s="50"/>
      <x:c r="AS206" s="50"/>
      <x:c r="AT206" s="50"/>
      <x:c r="AU206" s="50"/>
      <x:c r="AV206" s="50"/>
    </x:row>
    <x:row r="207" ht="15.75" customHeight="1">
      <x:c r="A207" s="50"/>
      <x:c r="B207" s="50"/>
      <x:c r="C207" s="50"/>
      <x:c r="D207" s="50"/>
      <x:c r="E207" s="50"/>
      <x:c r="F207" s="50"/>
      <x:c r="G207" s="50"/>
      <x:c r="H207" s="50"/>
      <x:c r="I207" s="50"/>
      <x:c r="J207" s="50"/>
      <x:c r="K207" s="50"/>
      <x:c r="L207" s="50"/>
      <x:c r="M207" s="50"/>
      <x:c r="N207" s="50"/>
      <x:c r="O207" s="50"/>
      <x:c r="P207" s="50"/>
      <x:c r="Q207" s="50"/>
      <x:c r="R207" s="50"/>
      <x:c r="S207" s="50"/>
      <x:c r="T207" s="50"/>
      <x:c r="U207" s="50"/>
      <x:c r="V207" s="50"/>
      <x:c r="W207" s="50"/>
      <x:c r="X207" s="50"/>
      <x:c r="Y207" s="50"/>
      <x:c r="Z207" s="50"/>
      <x:c r="AA207" s="50"/>
      <x:c r="AB207" s="50"/>
      <x:c r="AC207" s="50"/>
      <x:c r="AD207" s="50"/>
      <x:c r="AE207" s="50"/>
      <x:c r="AF207" s="50"/>
      <x:c r="AG207" s="50"/>
      <x:c r="AH207" s="50"/>
      <x:c r="AI207" s="50"/>
      <x:c r="AJ207" s="50"/>
      <x:c r="AK207" s="50"/>
      <x:c r="AL207" s="50"/>
      <x:c r="AM207" s="50"/>
      <x:c r="AN207" s="50"/>
      <x:c r="AO207" s="50"/>
      <x:c r="AP207" s="50"/>
      <x:c r="AQ207" s="50"/>
      <x:c r="AR207" s="50"/>
      <x:c r="AS207" s="50"/>
      <x:c r="AT207" s="50"/>
      <x:c r="AU207" s="50"/>
      <x:c r="AV207" s="50"/>
    </x:row>
    <x:row r="208" ht="15.75" customHeight="1">
      <x:c r="A208" s="50"/>
      <x:c r="B208" s="50"/>
      <x:c r="C208" s="50"/>
      <x:c r="D208" s="50"/>
      <x:c r="E208" s="50"/>
      <x:c r="F208" s="50"/>
      <x:c r="G208" s="50"/>
      <x:c r="H208" s="50"/>
      <x:c r="I208" s="50"/>
      <x:c r="J208" s="50"/>
      <x:c r="K208" s="50"/>
      <x:c r="L208" s="50"/>
      <x:c r="M208" s="50"/>
      <x:c r="N208" s="50"/>
      <x:c r="O208" s="50"/>
      <x:c r="P208" s="50"/>
      <x:c r="Q208" s="50"/>
      <x:c r="R208" s="50"/>
      <x:c r="S208" s="50"/>
      <x:c r="T208" s="50"/>
      <x:c r="U208" s="50"/>
      <x:c r="V208" s="50"/>
      <x:c r="W208" s="50"/>
      <x:c r="X208" s="50"/>
      <x:c r="Y208" s="50"/>
      <x:c r="Z208" s="50"/>
      <x:c r="AA208" s="50"/>
      <x:c r="AB208" s="50"/>
      <x:c r="AC208" s="50"/>
      <x:c r="AD208" s="50"/>
      <x:c r="AE208" s="50"/>
      <x:c r="AF208" s="50"/>
      <x:c r="AG208" s="50"/>
      <x:c r="AH208" s="50"/>
      <x:c r="AI208" s="50"/>
      <x:c r="AJ208" s="50"/>
      <x:c r="AK208" s="50"/>
      <x:c r="AL208" s="50"/>
      <x:c r="AM208" s="50"/>
      <x:c r="AN208" s="50"/>
      <x:c r="AO208" s="50"/>
      <x:c r="AP208" s="50"/>
      <x:c r="AQ208" s="50"/>
      <x:c r="AR208" s="50"/>
      <x:c r="AS208" s="50"/>
      <x:c r="AT208" s="50"/>
      <x:c r="AU208" s="50"/>
      <x:c r="AV208" s="50"/>
    </x:row>
    <x:row r="209" ht="15.75" customHeight="1">
      <x:c r="A209" s="50"/>
      <x:c r="B209" s="50"/>
      <x:c r="C209" s="50"/>
      <x:c r="D209" s="50"/>
      <x:c r="E209" s="50"/>
      <x:c r="F209" s="50"/>
      <x:c r="G209" s="50"/>
      <x:c r="H209" s="50"/>
      <x:c r="I209" s="50"/>
      <x:c r="J209" s="50"/>
      <x:c r="K209" s="50"/>
      <x:c r="L209" s="50"/>
      <x:c r="M209" s="50"/>
      <x:c r="N209" s="50"/>
      <x:c r="O209" s="50"/>
      <x:c r="P209" s="50"/>
      <x:c r="Q209" s="50"/>
      <x:c r="R209" s="50"/>
      <x:c r="S209" s="50"/>
      <x:c r="T209" s="50"/>
      <x:c r="U209" s="50"/>
      <x:c r="V209" s="50"/>
      <x:c r="W209" s="50"/>
      <x:c r="X209" s="50"/>
      <x:c r="Y209" s="50"/>
      <x:c r="Z209" s="50"/>
      <x:c r="AA209" s="50"/>
      <x:c r="AB209" s="50"/>
      <x:c r="AC209" s="50"/>
      <x:c r="AD209" s="50"/>
      <x:c r="AE209" s="50"/>
      <x:c r="AF209" s="50"/>
      <x:c r="AG209" s="50"/>
      <x:c r="AH209" s="50"/>
      <x:c r="AI209" s="50"/>
      <x:c r="AJ209" s="50"/>
      <x:c r="AK209" s="50"/>
      <x:c r="AL209" s="50"/>
      <x:c r="AM209" s="50"/>
      <x:c r="AN209" s="50"/>
      <x:c r="AO209" s="50"/>
      <x:c r="AP209" s="50"/>
      <x:c r="AQ209" s="50"/>
      <x:c r="AR209" s="50"/>
      <x:c r="AS209" s="50"/>
      <x:c r="AT209" s="50"/>
      <x:c r="AU209" s="50"/>
      <x:c r="AV209" s="50"/>
    </x:row>
    <x:row r="210" ht="15.75" customHeight="1">
      <x:c r="A210" s="50"/>
      <x:c r="B210" s="50"/>
      <x:c r="C210" s="50"/>
      <x:c r="D210" s="50"/>
      <x:c r="E210" s="50"/>
      <x:c r="F210" s="50"/>
      <x:c r="G210" s="50"/>
      <x:c r="H210" s="50"/>
      <x:c r="I210" s="50"/>
      <x:c r="J210" s="50"/>
      <x:c r="K210" s="50"/>
      <x:c r="L210" s="50"/>
      <x:c r="M210" s="50"/>
      <x:c r="N210" s="50"/>
      <x:c r="O210" s="50"/>
      <x:c r="P210" s="50"/>
      <x:c r="Q210" s="50"/>
      <x:c r="R210" s="50"/>
      <x:c r="S210" s="50"/>
      <x:c r="T210" s="50"/>
      <x:c r="U210" s="50"/>
      <x:c r="V210" s="50"/>
      <x:c r="W210" s="50"/>
      <x:c r="X210" s="50"/>
      <x:c r="Y210" s="50"/>
      <x:c r="Z210" s="50"/>
      <x:c r="AA210" s="50"/>
      <x:c r="AB210" s="50"/>
      <x:c r="AC210" s="50"/>
      <x:c r="AD210" s="50"/>
      <x:c r="AE210" s="50"/>
      <x:c r="AF210" s="50"/>
      <x:c r="AG210" s="50"/>
      <x:c r="AH210" s="50"/>
      <x:c r="AI210" s="50"/>
      <x:c r="AJ210" s="50"/>
      <x:c r="AK210" s="50"/>
      <x:c r="AL210" s="50"/>
      <x:c r="AM210" s="50"/>
      <x:c r="AN210" s="50"/>
      <x:c r="AO210" s="50"/>
      <x:c r="AP210" s="50"/>
      <x:c r="AQ210" s="50"/>
      <x:c r="AR210" s="50"/>
      <x:c r="AS210" s="50"/>
      <x:c r="AT210" s="50"/>
      <x:c r="AU210" s="50"/>
      <x:c r="AV210" s="50"/>
    </x:row>
    <x:row r="211" ht="15.75" customHeight="1">
      <x:c r="A211" s="50"/>
      <x:c r="B211" s="50"/>
      <x:c r="C211" s="50"/>
      <x:c r="D211" s="50"/>
      <x:c r="E211" s="50"/>
      <x:c r="F211" s="50"/>
      <x:c r="G211" s="50"/>
      <x:c r="H211" s="50"/>
      <x:c r="I211" s="50"/>
      <x:c r="J211" s="50"/>
      <x:c r="K211" s="50"/>
      <x:c r="L211" s="50"/>
      <x:c r="M211" s="50"/>
      <x:c r="N211" s="50"/>
      <x:c r="O211" s="50"/>
      <x:c r="P211" s="50"/>
      <x:c r="Q211" s="50"/>
      <x:c r="R211" s="50"/>
      <x:c r="S211" s="50"/>
      <x:c r="T211" s="50"/>
      <x:c r="U211" s="50"/>
      <x:c r="V211" s="50"/>
      <x:c r="W211" s="50"/>
      <x:c r="X211" s="50"/>
      <x:c r="Y211" s="50"/>
      <x:c r="Z211" s="50"/>
      <x:c r="AA211" s="50"/>
      <x:c r="AB211" s="50"/>
      <x:c r="AC211" s="50"/>
      <x:c r="AD211" s="50"/>
      <x:c r="AE211" s="50"/>
      <x:c r="AF211" s="50"/>
      <x:c r="AG211" s="50"/>
      <x:c r="AH211" s="50"/>
      <x:c r="AI211" s="50"/>
      <x:c r="AJ211" s="50"/>
      <x:c r="AK211" s="50"/>
      <x:c r="AL211" s="50"/>
      <x:c r="AM211" s="50"/>
      <x:c r="AN211" s="50"/>
      <x:c r="AO211" s="50"/>
      <x:c r="AP211" s="50"/>
      <x:c r="AQ211" s="50"/>
      <x:c r="AR211" s="50"/>
      <x:c r="AS211" s="50"/>
      <x:c r="AT211" s="50"/>
      <x:c r="AU211" s="50"/>
      <x:c r="AV211" s="50"/>
    </x:row>
    <x:row r="212" ht="15.75" customHeight="1">
      <x:c r="A212" s="50"/>
      <x:c r="B212" s="50"/>
      <x:c r="C212" s="50"/>
      <x:c r="D212" s="50"/>
      <x:c r="E212" s="50"/>
      <x:c r="F212" s="50"/>
      <x:c r="G212" s="50"/>
      <x:c r="H212" s="50"/>
      <x:c r="I212" s="50"/>
      <x:c r="J212" s="50"/>
      <x:c r="K212" s="50"/>
      <x:c r="L212" s="50"/>
      <x:c r="M212" s="50"/>
      <x:c r="N212" s="50"/>
      <x:c r="O212" s="50"/>
      <x:c r="P212" s="50"/>
      <x:c r="Q212" s="50"/>
      <x:c r="R212" s="50"/>
      <x:c r="S212" s="50"/>
      <x:c r="T212" s="50"/>
      <x:c r="U212" s="50"/>
      <x:c r="V212" s="50"/>
      <x:c r="W212" s="50"/>
      <x:c r="X212" s="50"/>
      <x:c r="Y212" s="50"/>
      <x:c r="Z212" s="50"/>
      <x:c r="AA212" s="50"/>
      <x:c r="AB212" s="50"/>
      <x:c r="AC212" s="50"/>
      <x:c r="AD212" s="50"/>
      <x:c r="AE212" s="50"/>
      <x:c r="AF212" s="50"/>
      <x:c r="AG212" s="50"/>
      <x:c r="AH212" s="50"/>
      <x:c r="AI212" s="50"/>
      <x:c r="AJ212" s="50"/>
      <x:c r="AK212" s="50"/>
      <x:c r="AL212" s="50"/>
      <x:c r="AM212" s="50"/>
      <x:c r="AN212" s="50"/>
      <x:c r="AO212" s="50"/>
      <x:c r="AP212" s="50"/>
      <x:c r="AQ212" s="50"/>
      <x:c r="AR212" s="50"/>
      <x:c r="AS212" s="50"/>
      <x:c r="AT212" s="50"/>
      <x:c r="AU212" s="50"/>
      <x:c r="AV212" s="50"/>
    </x:row>
    <x:row r="213" ht="15.75" customHeight="1">
      <x:c r="A213" s="50"/>
      <x:c r="B213" s="50"/>
      <x:c r="C213" s="50"/>
      <x:c r="D213" s="50"/>
      <x:c r="E213" s="50"/>
      <x:c r="F213" s="50"/>
      <x:c r="G213" s="50"/>
      <x:c r="H213" s="50"/>
      <x:c r="I213" s="50"/>
      <x:c r="J213" s="50"/>
      <x:c r="K213" s="50"/>
      <x:c r="L213" s="50"/>
      <x:c r="M213" s="50"/>
      <x:c r="N213" s="50"/>
      <x:c r="O213" s="50"/>
      <x:c r="P213" s="50"/>
      <x:c r="Q213" s="50"/>
      <x:c r="R213" s="50"/>
      <x:c r="S213" s="50"/>
      <x:c r="T213" s="50"/>
      <x:c r="U213" s="50"/>
      <x:c r="V213" s="50"/>
      <x:c r="W213" s="50"/>
      <x:c r="X213" s="50"/>
      <x:c r="Y213" s="50"/>
      <x:c r="Z213" s="50"/>
      <x:c r="AA213" s="50"/>
      <x:c r="AB213" s="50"/>
      <x:c r="AC213" s="50"/>
      <x:c r="AD213" s="50"/>
      <x:c r="AE213" s="50"/>
      <x:c r="AF213" s="50"/>
      <x:c r="AG213" s="50"/>
      <x:c r="AH213" s="50"/>
      <x:c r="AI213" s="50"/>
      <x:c r="AJ213" s="50"/>
      <x:c r="AK213" s="50"/>
      <x:c r="AL213" s="50"/>
      <x:c r="AM213" s="50"/>
      <x:c r="AN213" s="50"/>
      <x:c r="AO213" s="50"/>
      <x:c r="AP213" s="50"/>
      <x:c r="AQ213" s="50"/>
      <x:c r="AR213" s="50"/>
      <x:c r="AS213" s="50"/>
      <x:c r="AT213" s="50"/>
      <x:c r="AU213" s="50"/>
      <x:c r="AV213" s="50"/>
    </x:row>
    <x:row r="214" ht="15.75" customHeight="1">
      <x:c r="A214" s="50"/>
      <x:c r="B214" s="50"/>
      <x:c r="C214" s="50"/>
      <x:c r="D214" s="50"/>
      <x:c r="E214" s="50"/>
      <x:c r="F214" s="50"/>
      <x:c r="G214" s="50"/>
      <x:c r="H214" s="50"/>
      <x:c r="I214" s="50"/>
      <x:c r="J214" s="50"/>
      <x:c r="K214" s="50"/>
      <x:c r="L214" s="50"/>
      <x:c r="M214" s="50"/>
      <x:c r="N214" s="50"/>
      <x:c r="O214" s="50"/>
      <x:c r="P214" s="50"/>
      <x:c r="Q214" s="50"/>
      <x:c r="R214" s="50"/>
      <x:c r="S214" s="50"/>
      <x:c r="T214" s="50"/>
      <x:c r="U214" s="50"/>
      <x:c r="V214" s="50"/>
      <x:c r="W214" s="50"/>
      <x:c r="X214" s="50"/>
      <x:c r="Y214" s="50"/>
      <x:c r="Z214" s="50"/>
      <x:c r="AA214" s="50"/>
      <x:c r="AB214" s="50"/>
      <x:c r="AC214" s="50"/>
      <x:c r="AD214" s="50"/>
      <x:c r="AE214" s="50"/>
      <x:c r="AF214" s="50"/>
      <x:c r="AG214" s="50"/>
      <x:c r="AH214" s="50"/>
      <x:c r="AI214" s="50"/>
      <x:c r="AJ214" s="50"/>
      <x:c r="AK214" s="50"/>
      <x:c r="AL214" s="50"/>
      <x:c r="AM214" s="50"/>
      <x:c r="AN214" s="50"/>
      <x:c r="AO214" s="50"/>
      <x:c r="AP214" s="50"/>
      <x:c r="AQ214" s="50"/>
      <x:c r="AR214" s="50"/>
      <x:c r="AS214" s="50"/>
      <x:c r="AT214" s="50"/>
      <x:c r="AU214" s="50"/>
      <x:c r="AV214" s="50"/>
    </x:row>
    <x:row r="215" ht="15.75" customHeight="1">
      <x:c r="A215" s="50"/>
      <x:c r="B215" s="50"/>
      <x:c r="C215" s="50"/>
      <x:c r="D215" s="50"/>
      <x:c r="E215" s="50"/>
      <x:c r="F215" s="50"/>
      <x:c r="G215" s="50"/>
      <x:c r="H215" s="50"/>
      <x:c r="I215" s="50"/>
      <x:c r="J215" s="50"/>
      <x:c r="K215" s="50"/>
      <x:c r="L215" s="50"/>
      <x:c r="M215" s="50"/>
      <x:c r="N215" s="50"/>
      <x:c r="O215" s="50"/>
      <x:c r="P215" s="50"/>
      <x:c r="Q215" s="50"/>
      <x:c r="R215" s="50"/>
      <x:c r="S215" s="50"/>
      <x:c r="T215" s="50"/>
      <x:c r="U215" s="50"/>
      <x:c r="V215" s="50"/>
      <x:c r="W215" s="50"/>
      <x:c r="X215" s="50"/>
      <x:c r="Y215" s="50"/>
      <x:c r="Z215" s="50"/>
      <x:c r="AA215" s="50"/>
      <x:c r="AB215" s="50"/>
      <x:c r="AC215" s="50"/>
      <x:c r="AD215" s="50"/>
      <x:c r="AE215" s="50"/>
      <x:c r="AF215" s="50"/>
      <x:c r="AG215" s="50"/>
      <x:c r="AH215" s="50"/>
      <x:c r="AI215" s="50"/>
      <x:c r="AJ215" s="50"/>
      <x:c r="AK215" s="50"/>
      <x:c r="AL215" s="50"/>
      <x:c r="AM215" s="50"/>
      <x:c r="AN215" s="50"/>
      <x:c r="AO215" s="50"/>
      <x:c r="AP215" s="50"/>
      <x:c r="AQ215" s="50"/>
      <x:c r="AR215" s="50"/>
      <x:c r="AS215" s="50"/>
      <x:c r="AT215" s="50"/>
      <x:c r="AU215" s="50"/>
      <x:c r="AV215" s="50"/>
    </x:row>
    <x:row r="216" ht="15.75" customHeight="1">
      <x:c r="A216" s="50"/>
      <x:c r="B216" s="50"/>
      <x:c r="C216" s="50"/>
      <x:c r="D216" s="50"/>
      <x:c r="E216" s="50"/>
      <x:c r="F216" s="50"/>
      <x:c r="G216" s="50"/>
      <x:c r="H216" s="50"/>
      <x:c r="I216" s="50"/>
      <x:c r="J216" s="50"/>
      <x:c r="K216" s="50"/>
      <x:c r="L216" s="50"/>
      <x:c r="M216" s="50"/>
      <x:c r="N216" s="50"/>
      <x:c r="O216" s="50"/>
      <x:c r="P216" s="50"/>
      <x:c r="Q216" s="50"/>
      <x:c r="R216" s="50"/>
      <x:c r="S216" s="50"/>
      <x:c r="T216" s="50"/>
      <x:c r="U216" s="50"/>
      <x:c r="V216" s="50"/>
      <x:c r="W216" s="50"/>
      <x:c r="X216" s="50"/>
      <x:c r="Y216" s="50"/>
      <x:c r="Z216" s="50"/>
      <x:c r="AA216" s="50"/>
      <x:c r="AB216" s="50"/>
      <x:c r="AC216" s="50"/>
      <x:c r="AD216" s="50"/>
      <x:c r="AE216" s="50"/>
      <x:c r="AF216" s="50"/>
      <x:c r="AG216" s="50"/>
      <x:c r="AH216" s="50"/>
      <x:c r="AI216" s="50"/>
      <x:c r="AJ216" s="50"/>
      <x:c r="AK216" s="50"/>
      <x:c r="AL216" s="50"/>
      <x:c r="AM216" s="50"/>
      <x:c r="AN216" s="50"/>
      <x:c r="AO216" s="50"/>
      <x:c r="AP216" s="50"/>
      <x:c r="AQ216" s="50"/>
      <x:c r="AR216" s="50"/>
      <x:c r="AS216" s="50"/>
      <x:c r="AT216" s="50"/>
      <x:c r="AU216" s="50"/>
      <x:c r="AV216" s="50"/>
    </x:row>
    <x:row r="217" ht="15.75" customHeight="1">
      <x:c r="A217" s="50"/>
      <x:c r="B217" s="50"/>
      <x:c r="C217" s="50"/>
      <x:c r="D217" s="50"/>
      <x:c r="E217" s="50"/>
      <x:c r="F217" s="50"/>
      <x:c r="G217" s="50"/>
      <x:c r="H217" s="50"/>
      <x:c r="I217" s="50"/>
      <x:c r="J217" s="50"/>
      <x:c r="K217" s="50"/>
      <x:c r="L217" s="50"/>
      <x:c r="M217" s="50"/>
      <x:c r="N217" s="50"/>
      <x:c r="O217" s="50"/>
      <x:c r="P217" s="50"/>
      <x:c r="Q217" s="50"/>
      <x:c r="R217" s="50"/>
      <x:c r="S217" s="50"/>
      <x:c r="T217" s="50"/>
      <x:c r="U217" s="50"/>
      <x:c r="V217" s="50"/>
      <x:c r="W217" s="50"/>
      <x:c r="X217" s="50"/>
      <x:c r="Y217" s="50"/>
      <x:c r="Z217" s="50"/>
      <x:c r="AA217" s="50"/>
      <x:c r="AB217" s="50"/>
      <x:c r="AC217" s="50"/>
      <x:c r="AD217" s="50"/>
      <x:c r="AE217" s="50"/>
      <x:c r="AF217" s="50"/>
      <x:c r="AG217" s="50"/>
      <x:c r="AH217" s="50"/>
      <x:c r="AI217" s="50"/>
      <x:c r="AJ217" s="50"/>
      <x:c r="AK217" s="50"/>
      <x:c r="AL217" s="50"/>
      <x:c r="AM217" s="50"/>
      <x:c r="AN217" s="50"/>
      <x:c r="AO217" s="50"/>
      <x:c r="AP217" s="50"/>
      <x:c r="AQ217" s="50"/>
      <x:c r="AR217" s="50"/>
      <x:c r="AS217" s="50"/>
      <x:c r="AT217" s="50"/>
      <x:c r="AU217" s="50"/>
      <x:c r="AV217" s="50"/>
    </x:row>
    <x:row r="218" ht="15.75" customHeight="1">
      <x:c r="A218" s="50"/>
      <x:c r="B218" s="50"/>
      <x:c r="C218" s="50"/>
      <x:c r="D218" s="50"/>
      <x:c r="E218" s="50"/>
      <x:c r="F218" s="50"/>
      <x:c r="G218" s="50"/>
      <x:c r="H218" s="50"/>
      <x:c r="I218" s="50"/>
      <x:c r="J218" s="50"/>
      <x:c r="K218" s="50"/>
      <x:c r="L218" s="50"/>
      <x:c r="M218" s="50"/>
      <x:c r="N218" s="50"/>
      <x:c r="O218" s="50"/>
      <x:c r="P218" s="50"/>
      <x:c r="Q218" s="50"/>
      <x:c r="R218" s="50"/>
      <x:c r="S218" s="50"/>
      <x:c r="T218" s="50"/>
      <x:c r="U218" s="50"/>
      <x:c r="V218" s="50"/>
      <x:c r="W218" s="50"/>
      <x:c r="X218" s="50"/>
      <x:c r="Y218" s="50"/>
      <x:c r="Z218" s="50"/>
      <x:c r="AA218" s="50"/>
      <x:c r="AB218" s="50"/>
      <x:c r="AC218" s="50"/>
      <x:c r="AD218" s="50"/>
      <x:c r="AE218" s="50"/>
      <x:c r="AF218" s="50"/>
      <x:c r="AG218" s="50"/>
      <x:c r="AH218" s="50"/>
      <x:c r="AI218" s="50"/>
      <x:c r="AJ218" s="50"/>
      <x:c r="AK218" s="50"/>
      <x:c r="AL218" s="50"/>
      <x:c r="AM218" s="50"/>
      <x:c r="AN218" s="50"/>
      <x:c r="AO218" s="50"/>
      <x:c r="AP218" s="50"/>
      <x:c r="AQ218" s="50"/>
      <x:c r="AR218" s="50"/>
      <x:c r="AS218" s="50"/>
      <x:c r="AT218" s="50"/>
      <x:c r="AU218" s="50"/>
      <x:c r="AV218" s="50"/>
    </x:row>
    <x:row r="219" ht="15.75" customHeight="1">
      <x:c r="A219" s="50"/>
      <x:c r="B219" s="50"/>
      <x:c r="C219" s="50"/>
      <x:c r="D219" s="50"/>
      <x:c r="E219" s="50"/>
      <x:c r="F219" s="50"/>
      <x:c r="G219" s="50"/>
      <x:c r="H219" s="50"/>
      <x:c r="I219" s="50"/>
      <x:c r="J219" s="50"/>
      <x:c r="K219" s="50"/>
      <x:c r="L219" s="50"/>
      <x:c r="M219" s="50"/>
      <x:c r="N219" s="50"/>
      <x:c r="O219" s="50"/>
      <x:c r="P219" s="50"/>
      <x:c r="Q219" s="50"/>
      <x:c r="R219" s="50"/>
      <x:c r="S219" s="50"/>
      <x:c r="T219" s="50"/>
      <x:c r="U219" s="50"/>
      <x:c r="V219" s="50"/>
      <x:c r="W219" s="50"/>
      <x:c r="X219" s="50"/>
      <x:c r="Y219" s="50"/>
      <x:c r="Z219" s="50"/>
      <x:c r="AA219" s="50"/>
      <x:c r="AB219" s="50"/>
      <x:c r="AC219" s="50"/>
      <x:c r="AD219" s="50"/>
      <x:c r="AE219" s="50"/>
      <x:c r="AF219" s="50"/>
      <x:c r="AG219" s="50"/>
      <x:c r="AH219" s="50"/>
      <x:c r="AI219" s="50"/>
      <x:c r="AJ219" s="50"/>
      <x:c r="AK219" s="50"/>
      <x:c r="AL219" s="50"/>
      <x:c r="AM219" s="50"/>
      <x:c r="AN219" s="50"/>
      <x:c r="AO219" s="50"/>
      <x:c r="AP219" s="50"/>
      <x:c r="AQ219" s="50"/>
      <x:c r="AR219" s="50"/>
      <x:c r="AS219" s="50"/>
      <x:c r="AT219" s="50"/>
      <x:c r="AU219" s="50"/>
      <x:c r="AV219" s="50"/>
    </x:row>
    <x:row r="220" ht="15.75" customHeight="1">
      <x:c r="A220" s="50"/>
      <x:c r="B220" s="50"/>
      <x:c r="C220" s="50"/>
      <x:c r="D220" s="50"/>
      <x:c r="E220" s="50"/>
      <x:c r="F220" s="50"/>
      <x:c r="G220" s="50"/>
      <x:c r="H220" s="50"/>
      <x:c r="I220" s="50"/>
      <x:c r="J220" s="50"/>
      <x:c r="K220" s="50"/>
      <x:c r="L220" s="50"/>
      <x:c r="M220" s="50"/>
      <x:c r="N220" s="50"/>
      <x:c r="O220" s="50"/>
      <x:c r="P220" s="50"/>
      <x:c r="Q220" s="50"/>
      <x:c r="R220" s="50"/>
      <x:c r="S220" s="50"/>
      <x:c r="T220" s="50"/>
      <x:c r="U220" s="50"/>
      <x:c r="V220" s="50"/>
      <x:c r="W220" s="50"/>
      <x:c r="X220" s="50"/>
      <x:c r="Y220" s="50"/>
      <x:c r="Z220" s="50"/>
      <x:c r="AA220" s="50"/>
      <x:c r="AB220" s="50"/>
      <x:c r="AC220" s="50"/>
      <x:c r="AD220" s="50"/>
      <x:c r="AE220" s="50"/>
      <x:c r="AF220" s="50"/>
      <x:c r="AG220" s="50"/>
      <x:c r="AH220" s="50"/>
      <x:c r="AI220" s="50"/>
      <x:c r="AJ220" s="50"/>
      <x:c r="AK220" s="50"/>
      <x:c r="AL220" s="50"/>
      <x:c r="AM220" s="50"/>
      <x:c r="AN220" s="50"/>
      <x:c r="AO220" s="50"/>
      <x:c r="AP220" s="50"/>
      <x:c r="AQ220" s="50"/>
      <x:c r="AR220" s="50"/>
      <x:c r="AS220" s="50"/>
      <x:c r="AT220" s="50"/>
      <x:c r="AU220" s="50"/>
      <x:c r="AV220" s="50"/>
    </x:row>
    <x:row r="221" ht="15.75" customHeight="1">
      <x:c r="A221" s="50"/>
      <x:c r="B221" s="50"/>
      <x:c r="C221" s="50"/>
      <x:c r="D221" s="50"/>
      <x:c r="E221" s="50"/>
      <x:c r="F221" s="50"/>
      <x:c r="G221" s="50"/>
      <x:c r="H221" s="50"/>
      <x:c r="I221" s="50"/>
      <x:c r="J221" s="50"/>
      <x:c r="K221" s="50"/>
      <x:c r="L221" s="50"/>
      <x:c r="M221" s="50"/>
      <x:c r="N221" s="50"/>
      <x:c r="O221" s="50"/>
      <x:c r="P221" s="50"/>
      <x:c r="Q221" s="50"/>
      <x:c r="R221" s="50"/>
      <x:c r="S221" s="50"/>
      <x:c r="T221" s="50"/>
      <x:c r="U221" s="50"/>
      <x:c r="V221" s="50"/>
      <x:c r="W221" s="50"/>
      <x:c r="X221" s="50"/>
      <x:c r="Y221" s="50"/>
      <x:c r="Z221" s="50"/>
      <x:c r="AA221" s="50"/>
      <x:c r="AB221" s="50"/>
      <x:c r="AC221" s="50"/>
      <x:c r="AD221" s="50"/>
      <x:c r="AE221" s="50"/>
      <x:c r="AF221" s="50"/>
      <x:c r="AG221" s="50"/>
      <x:c r="AH221" s="50"/>
      <x:c r="AI221" s="50"/>
      <x:c r="AJ221" s="50"/>
      <x:c r="AK221" s="50"/>
      <x:c r="AL221" s="50"/>
      <x:c r="AM221" s="50"/>
      <x:c r="AN221" s="50"/>
      <x:c r="AO221" s="50"/>
      <x:c r="AP221" s="50"/>
      <x:c r="AQ221" s="50"/>
      <x:c r="AR221" s="50"/>
      <x:c r="AS221" s="50"/>
      <x:c r="AT221" s="50"/>
      <x:c r="AU221" s="50"/>
      <x:c r="AV221" s="50"/>
    </x:row>
    <x:row r="222" ht="15.75" customHeight="1">
      <x:c r="A222" s="50"/>
      <x:c r="B222" s="50"/>
      <x:c r="C222" s="50"/>
      <x:c r="D222" s="50"/>
      <x:c r="E222" s="50"/>
      <x:c r="F222" s="50"/>
      <x:c r="G222" s="50"/>
      <x:c r="H222" s="50"/>
      <x:c r="I222" s="50"/>
      <x:c r="J222" s="50"/>
      <x:c r="K222" s="50"/>
      <x:c r="L222" s="50"/>
      <x:c r="M222" s="50"/>
      <x:c r="N222" s="50"/>
      <x:c r="O222" s="50"/>
      <x:c r="P222" s="50"/>
      <x:c r="Q222" s="50"/>
      <x:c r="R222" s="50"/>
      <x:c r="S222" s="50"/>
      <x:c r="T222" s="50"/>
      <x:c r="U222" s="50"/>
      <x:c r="V222" s="50"/>
      <x:c r="W222" s="50"/>
      <x:c r="X222" s="50"/>
      <x:c r="Y222" s="50"/>
      <x:c r="Z222" s="50"/>
      <x:c r="AA222" s="50"/>
      <x:c r="AB222" s="50"/>
      <x:c r="AC222" s="50"/>
      <x:c r="AD222" s="50"/>
      <x:c r="AE222" s="50"/>
      <x:c r="AF222" s="50"/>
      <x:c r="AG222" s="50"/>
      <x:c r="AH222" s="50"/>
      <x:c r="AI222" s="50"/>
      <x:c r="AJ222" s="50"/>
      <x:c r="AK222" s="50"/>
      <x:c r="AL222" s="50"/>
      <x:c r="AM222" s="50"/>
      <x:c r="AN222" s="50"/>
      <x:c r="AO222" s="50"/>
      <x:c r="AP222" s="50"/>
      <x:c r="AQ222" s="50"/>
      <x:c r="AR222" s="50"/>
      <x:c r="AS222" s="50"/>
      <x:c r="AT222" s="50"/>
      <x:c r="AU222" s="50"/>
      <x:c r="AV222" s="50"/>
    </x:row>
    <x:row r="223" ht="15.75" customHeight="1">
      <x:c r="A223" s="50"/>
      <x:c r="B223" s="50"/>
      <x:c r="C223" s="50"/>
      <x:c r="D223" s="50"/>
      <x:c r="E223" s="50"/>
      <x:c r="F223" s="50"/>
      <x:c r="G223" s="50"/>
      <x:c r="H223" s="50"/>
      <x:c r="I223" s="50"/>
      <x:c r="J223" s="50"/>
      <x:c r="K223" s="50"/>
      <x:c r="L223" s="50"/>
      <x:c r="M223" s="50"/>
      <x:c r="N223" s="50"/>
      <x:c r="O223" s="50"/>
      <x:c r="P223" s="50"/>
      <x:c r="Q223" s="50"/>
      <x:c r="R223" s="50"/>
      <x:c r="S223" s="50"/>
      <x:c r="T223" s="50"/>
      <x:c r="U223" s="50"/>
      <x:c r="V223" s="50"/>
      <x:c r="W223" s="50"/>
      <x:c r="X223" s="50"/>
      <x:c r="Y223" s="50"/>
      <x:c r="Z223" s="50"/>
      <x:c r="AA223" s="50"/>
      <x:c r="AB223" s="50"/>
      <x:c r="AC223" s="50"/>
      <x:c r="AD223" s="50"/>
      <x:c r="AE223" s="50"/>
      <x:c r="AF223" s="50"/>
      <x:c r="AG223" s="50"/>
      <x:c r="AH223" s="50"/>
      <x:c r="AI223" s="50"/>
      <x:c r="AJ223" s="50"/>
      <x:c r="AK223" s="50"/>
      <x:c r="AL223" s="50"/>
      <x:c r="AM223" s="50"/>
      <x:c r="AN223" s="50"/>
      <x:c r="AO223" s="50"/>
      <x:c r="AP223" s="50"/>
      <x:c r="AQ223" s="50"/>
      <x:c r="AR223" s="50"/>
      <x:c r="AS223" s="50"/>
      <x:c r="AT223" s="50"/>
      <x:c r="AU223" s="50"/>
      <x:c r="AV223" s="50"/>
    </x:row>
    <x:row r="224" ht="15.75" customHeight="1">
      <x:c r="A224" s="50"/>
      <x:c r="B224" s="50"/>
      <x:c r="C224" s="50"/>
      <x:c r="D224" s="50"/>
      <x:c r="E224" s="50"/>
      <x:c r="F224" s="50"/>
      <x:c r="G224" s="50"/>
      <x:c r="H224" s="50"/>
      <x:c r="I224" s="50"/>
      <x:c r="J224" s="50"/>
      <x:c r="K224" s="50"/>
      <x:c r="L224" s="50"/>
      <x:c r="M224" s="50"/>
      <x:c r="N224" s="50"/>
      <x:c r="O224" s="50"/>
      <x:c r="P224" s="50"/>
      <x:c r="Q224" s="50"/>
      <x:c r="R224" s="50"/>
      <x:c r="S224" s="50"/>
      <x:c r="T224" s="50"/>
      <x:c r="U224" s="50"/>
      <x:c r="V224" s="50"/>
      <x:c r="W224" s="50"/>
      <x:c r="X224" s="50"/>
      <x:c r="Y224" s="50"/>
      <x:c r="Z224" s="50"/>
      <x:c r="AA224" s="50"/>
      <x:c r="AB224" s="50"/>
      <x:c r="AC224" s="50"/>
      <x:c r="AD224" s="50"/>
      <x:c r="AE224" s="50"/>
      <x:c r="AF224" s="50"/>
      <x:c r="AG224" s="50"/>
      <x:c r="AH224" s="50"/>
      <x:c r="AI224" s="50"/>
      <x:c r="AJ224" s="50"/>
      <x:c r="AK224" s="50"/>
      <x:c r="AL224" s="50"/>
      <x:c r="AM224" s="50"/>
      <x:c r="AN224" s="50"/>
      <x:c r="AO224" s="50"/>
      <x:c r="AP224" s="50"/>
      <x:c r="AQ224" s="50"/>
      <x:c r="AR224" s="50"/>
      <x:c r="AS224" s="50"/>
      <x:c r="AT224" s="50"/>
      <x:c r="AU224" s="50"/>
      <x:c r="AV224" s="50"/>
    </x:row>
    <x:row r="225" ht="15.75" customHeight="1">
      <x:c r="A225" s="50"/>
      <x:c r="B225" s="50"/>
      <x:c r="C225" s="50"/>
      <x:c r="D225" s="50"/>
      <x:c r="E225" s="50"/>
      <x:c r="F225" s="50"/>
      <x:c r="G225" s="50"/>
      <x:c r="H225" s="50"/>
      <x:c r="I225" s="50"/>
      <x:c r="J225" s="50"/>
      <x:c r="K225" s="50"/>
      <x:c r="L225" s="50"/>
      <x:c r="M225" s="50"/>
      <x:c r="N225" s="50"/>
      <x:c r="O225" s="50"/>
      <x:c r="P225" s="50"/>
      <x:c r="Q225" s="50"/>
      <x:c r="R225" s="50"/>
      <x:c r="S225" s="50"/>
      <x:c r="T225" s="50"/>
      <x:c r="U225" s="50"/>
      <x:c r="V225" s="50"/>
      <x:c r="W225" s="50"/>
      <x:c r="X225" s="50"/>
      <x:c r="Y225" s="50"/>
      <x:c r="Z225" s="50"/>
      <x:c r="AA225" s="50"/>
      <x:c r="AB225" s="50"/>
      <x:c r="AC225" s="50"/>
      <x:c r="AD225" s="50"/>
      <x:c r="AE225" s="50"/>
      <x:c r="AF225" s="50"/>
      <x:c r="AG225" s="50"/>
      <x:c r="AH225" s="50"/>
      <x:c r="AI225" s="50"/>
      <x:c r="AJ225" s="50"/>
      <x:c r="AK225" s="50"/>
      <x:c r="AL225" s="50"/>
      <x:c r="AM225" s="50"/>
      <x:c r="AN225" s="50"/>
      <x:c r="AO225" s="50"/>
      <x:c r="AP225" s="50"/>
      <x:c r="AQ225" s="50"/>
      <x:c r="AR225" s="50"/>
      <x:c r="AS225" s="50"/>
      <x:c r="AT225" s="50"/>
      <x:c r="AU225" s="50"/>
      <x:c r="AV225" s="50"/>
    </x:row>
    <x:row r="226" ht="15.75" customHeight="1">
      <x:c r="A226" s="50"/>
      <x:c r="B226" s="50"/>
      <x:c r="C226" s="50"/>
      <x:c r="D226" s="50"/>
      <x:c r="E226" s="50"/>
      <x:c r="F226" s="50"/>
      <x:c r="G226" s="50"/>
      <x:c r="H226" s="50"/>
      <x:c r="I226" s="50"/>
      <x:c r="J226" s="50"/>
      <x:c r="K226" s="50"/>
      <x:c r="L226" s="50"/>
      <x:c r="M226" s="50"/>
      <x:c r="N226" s="50"/>
      <x:c r="O226" s="50"/>
      <x:c r="P226" s="50"/>
      <x:c r="Q226" s="50"/>
      <x:c r="R226" s="50"/>
      <x:c r="S226" s="50"/>
      <x:c r="T226" s="50"/>
      <x:c r="U226" s="50"/>
      <x:c r="V226" s="50"/>
      <x:c r="W226" s="50"/>
      <x:c r="X226" s="50"/>
      <x:c r="Y226" s="50"/>
      <x:c r="Z226" s="50"/>
      <x:c r="AA226" s="50"/>
      <x:c r="AB226" s="50"/>
      <x:c r="AC226" s="50"/>
      <x:c r="AD226" s="50"/>
      <x:c r="AE226" s="50"/>
      <x:c r="AF226" s="50"/>
      <x:c r="AG226" s="50"/>
      <x:c r="AH226" s="50"/>
      <x:c r="AI226" s="50"/>
      <x:c r="AJ226" s="50"/>
      <x:c r="AK226" s="50"/>
      <x:c r="AL226" s="50"/>
      <x:c r="AM226" s="50"/>
      <x:c r="AN226" s="50"/>
      <x:c r="AO226" s="50"/>
      <x:c r="AP226" s="50"/>
      <x:c r="AQ226" s="50"/>
      <x:c r="AR226" s="50"/>
      <x:c r="AS226" s="50"/>
      <x:c r="AT226" s="50"/>
      <x:c r="AU226" s="50"/>
      <x:c r="AV226" s="50"/>
    </x:row>
    <x:row r="227" ht="15.75" customHeight="1">
      <x:c r="A227" s="50"/>
      <x:c r="B227" s="50"/>
      <x:c r="C227" s="50"/>
      <x:c r="D227" s="50"/>
      <x:c r="E227" s="50"/>
      <x:c r="F227" s="50"/>
      <x:c r="G227" s="50"/>
      <x:c r="H227" s="50"/>
      <x:c r="I227" s="50"/>
      <x:c r="J227" s="50"/>
      <x:c r="K227" s="50"/>
      <x:c r="L227" s="50"/>
      <x:c r="M227" s="50"/>
      <x:c r="N227" s="50"/>
      <x:c r="O227" s="50"/>
      <x:c r="P227" s="50"/>
      <x:c r="Q227" s="50"/>
      <x:c r="R227" s="50"/>
      <x:c r="S227" s="50"/>
      <x:c r="T227" s="50"/>
      <x:c r="U227" s="50"/>
      <x:c r="V227" s="50"/>
      <x:c r="W227" s="50"/>
      <x:c r="X227" s="50"/>
      <x:c r="Y227" s="50"/>
      <x:c r="Z227" s="50"/>
      <x:c r="AA227" s="50"/>
      <x:c r="AB227" s="50"/>
      <x:c r="AC227" s="50"/>
      <x:c r="AD227" s="50"/>
      <x:c r="AE227" s="50"/>
      <x:c r="AF227" s="50"/>
      <x:c r="AG227" s="50"/>
      <x:c r="AH227" s="50"/>
      <x:c r="AI227" s="50"/>
      <x:c r="AJ227" s="50"/>
      <x:c r="AK227" s="50"/>
      <x:c r="AL227" s="50"/>
      <x:c r="AM227" s="50"/>
      <x:c r="AN227" s="50"/>
      <x:c r="AO227" s="50"/>
      <x:c r="AP227" s="50"/>
      <x:c r="AQ227" s="50"/>
      <x:c r="AR227" s="50"/>
      <x:c r="AS227" s="50"/>
      <x:c r="AT227" s="50"/>
      <x:c r="AU227" s="50"/>
      <x:c r="AV227" s="50"/>
    </x:row>
    <x:row r="228" ht="15.75" customHeight="1">
      <x:c r="A228" s="50"/>
      <x:c r="B228" s="50"/>
      <x:c r="C228" s="50"/>
      <x:c r="D228" s="50"/>
      <x:c r="E228" s="50"/>
      <x:c r="F228" s="50"/>
      <x:c r="G228" s="50"/>
      <x:c r="H228" s="50"/>
      <x:c r="I228" s="50"/>
      <x:c r="J228" s="50"/>
      <x:c r="K228" s="50"/>
      <x:c r="L228" s="50"/>
      <x:c r="M228" s="50"/>
      <x:c r="N228" s="50"/>
      <x:c r="O228" s="50"/>
      <x:c r="P228" s="50"/>
      <x:c r="Q228" s="50"/>
      <x:c r="R228" s="50"/>
      <x:c r="S228" s="50"/>
      <x:c r="T228" s="50"/>
      <x:c r="U228" s="50"/>
      <x:c r="V228" s="50"/>
      <x:c r="W228" s="50"/>
      <x:c r="X228" s="50"/>
      <x:c r="Y228" s="50"/>
      <x:c r="Z228" s="50"/>
      <x:c r="AA228" s="50"/>
      <x:c r="AB228" s="50"/>
      <x:c r="AC228" s="50"/>
      <x:c r="AD228" s="50"/>
      <x:c r="AE228" s="50"/>
      <x:c r="AF228" s="50"/>
      <x:c r="AG228" s="50"/>
      <x:c r="AH228" s="50"/>
      <x:c r="AI228" s="50"/>
      <x:c r="AJ228" s="50"/>
      <x:c r="AK228" s="50"/>
      <x:c r="AL228" s="50"/>
      <x:c r="AM228" s="50"/>
      <x:c r="AN228" s="50"/>
      <x:c r="AO228" s="50"/>
      <x:c r="AP228" s="50"/>
      <x:c r="AQ228" s="50"/>
      <x:c r="AR228" s="50"/>
      <x:c r="AS228" s="50"/>
      <x:c r="AT228" s="50"/>
      <x:c r="AU228" s="50"/>
      <x:c r="AV228" s="50"/>
    </x:row>
    <x:row r="229" ht="15.75" customHeight="1">
      <x:c r="A229" s="50"/>
      <x:c r="B229" s="50"/>
      <x:c r="C229" s="50"/>
      <x:c r="D229" s="50"/>
      <x:c r="E229" s="50"/>
      <x:c r="F229" s="50"/>
      <x:c r="G229" s="50"/>
      <x:c r="H229" s="50"/>
      <x:c r="I229" s="50"/>
      <x:c r="J229" s="50"/>
      <x:c r="K229" s="50"/>
      <x:c r="L229" s="50"/>
      <x:c r="M229" s="50"/>
      <x:c r="N229" s="50"/>
      <x:c r="O229" s="50"/>
      <x:c r="P229" s="50"/>
      <x:c r="Q229" s="50"/>
      <x:c r="R229" s="50"/>
      <x:c r="S229" s="50"/>
      <x:c r="T229" s="50"/>
      <x:c r="U229" s="50"/>
      <x:c r="V229" s="50"/>
      <x:c r="W229" s="50"/>
      <x:c r="X229" s="50"/>
      <x:c r="Y229" s="50"/>
      <x:c r="Z229" s="50"/>
      <x:c r="AA229" s="50"/>
      <x:c r="AB229" s="50"/>
      <x:c r="AC229" s="50"/>
      <x:c r="AD229" s="50"/>
      <x:c r="AE229" s="50"/>
      <x:c r="AF229" s="50"/>
      <x:c r="AG229" s="50"/>
      <x:c r="AH229" s="50"/>
      <x:c r="AI229" s="50"/>
      <x:c r="AJ229" s="50"/>
      <x:c r="AK229" s="50"/>
      <x:c r="AL229" s="50"/>
      <x:c r="AM229" s="50"/>
      <x:c r="AN229" s="50"/>
      <x:c r="AO229" s="50"/>
      <x:c r="AP229" s="50"/>
      <x:c r="AQ229" s="50"/>
      <x:c r="AR229" s="50"/>
      <x:c r="AS229" s="50"/>
      <x:c r="AT229" s="50"/>
      <x:c r="AU229" s="50"/>
      <x:c r="AV229" s="50"/>
    </x:row>
    <x:row r="230" ht="15.75" customHeight="1">
      <x:c r="A230" s="50"/>
      <x:c r="B230" s="50"/>
      <x:c r="C230" s="50"/>
      <x:c r="D230" s="50"/>
      <x:c r="E230" s="50"/>
      <x:c r="F230" s="50"/>
      <x:c r="G230" s="50"/>
      <x:c r="H230" s="50"/>
      <x:c r="I230" s="50"/>
      <x:c r="J230" s="50"/>
      <x:c r="K230" s="50"/>
      <x:c r="L230" s="50"/>
      <x:c r="M230" s="50"/>
      <x:c r="N230" s="50"/>
      <x:c r="O230" s="50"/>
      <x:c r="P230" s="50"/>
      <x:c r="Q230" s="50"/>
      <x:c r="R230" s="50"/>
      <x:c r="S230" s="50"/>
      <x:c r="T230" s="50"/>
      <x:c r="U230" s="50"/>
      <x:c r="V230" s="50"/>
      <x:c r="W230" s="50"/>
      <x:c r="X230" s="50"/>
      <x:c r="Y230" s="50"/>
      <x:c r="Z230" s="50"/>
      <x:c r="AA230" s="50"/>
      <x:c r="AB230" s="50"/>
      <x:c r="AC230" s="50"/>
      <x:c r="AD230" s="50"/>
      <x:c r="AE230" s="50"/>
      <x:c r="AF230" s="50"/>
      <x:c r="AG230" s="50"/>
      <x:c r="AH230" s="50"/>
      <x:c r="AI230" s="50"/>
      <x:c r="AJ230" s="50"/>
      <x:c r="AK230" s="50"/>
      <x:c r="AL230" s="50"/>
      <x:c r="AM230" s="50"/>
      <x:c r="AN230" s="50"/>
      <x:c r="AO230" s="50"/>
      <x:c r="AP230" s="50"/>
      <x:c r="AQ230" s="50"/>
      <x:c r="AR230" s="50"/>
      <x:c r="AS230" s="50"/>
      <x:c r="AT230" s="50"/>
      <x:c r="AU230" s="50"/>
      <x:c r="AV230" s="50"/>
    </x:row>
    <x:row r="231" ht="15.75" customHeight="1">
      <x:c r="A231" s="50"/>
      <x:c r="B231" s="50"/>
      <x:c r="C231" s="50"/>
      <x:c r="D231" s="50"/>
      <x:c r="E231" s="50"/>
      <x:c r="F231" s="50"/>
      <x:c r="G231" s="50"/>
      <x:c r="H231" s="50"/>
      <x:c r="I231" s="50"/>
      <x:c r="J231" s="50"/>
      <x:c r="K231" s="50"/>
      <x:c r="L231" s="50"/>
      <x:c r="M231" s="50"/>
      <x:c r="N231" s="50"/>
      <x:c r="O231" s="50"/>
      <x:c r="P231" s="50"/>
      <x:c r="Q231" s="50"/>
      <x:c r="R231" s="50"/>
      <x:c r="S231" s="50"/>
      <x:c r="T231" s="50"/>
      <x:c r="U231" s="50"/>
      <x:c r="V231" s="50"/>
      <x:c r="W231" s="50"/>
      <x:c r="X231" s="50"/>
      <x:c r="Y231" s="50"/>
      <x:c r="Z231" s="50"/>
      <x:c r="AA231" s="50"/>
      <x:c r="AB231" s="50"/>
      <x:c r="AC231" s="50"/>
      <x:c r="AD231" s="50"/>
      <x:c r="AE231" s="50"/>
      <x:c r="AF231" s="50"/>
      <x:c r="AG231" s="50"/>
      <x:c r="AH231" s="50"/>
      <x:c r="AI231" s="50"/>
      <x:c r="AJ231" s="50"/>
      <x:c r="AK231" s="50"/>
      <x:c r="AL231" s="50"/>
      <x:c r="AM231" s="50"/>
      <x:c r="AN231" s="50"/>
      <x:c r="AO231" s="50"/>
      <x:c r="AP231" s="50"/>
      <x:c r="AQ231" s="50"/>
      <x:c r="AR231" s="50"/>
      <x:c r="AS231" s="50"/>
      <x:c r="AT231" s="50"/>
      <x:c r="AU231" s="50"/>
      <x:c r="AV231" s="50"/>
    </x:row>
    <x:row r="232" ht="15.75" customHeight="1">
      <x:c r="A232" s="50"/>
      <x:c r="B232" s="50"/>
      <x:c r="C232" s="50"/>
      <x:c r="D232" s="50"/>
      <x:c r="E232" s="50"/>
      <x:c r="F232" s="50"/>
      <x:c r="G232" s="50"/>
      <x:c r="H232" s="50"/>
      <x:c r="I232" s="50"/>
      <x:c r="J232" s="50"/>
      <x:c r="K232" s="50"/>
      <x:c r="L232" s="50"/>
      <x:c r="M232" s="50"/>
      <x:c r="N232" s="50"/>
      <x:c r="O232" s="50"/>
      <x:c r="P232" s="50"/>
      <x:c r="Q232" s="50"/>
      <x:c r="R232" s="50"/>
      <x:c r="S232" s="50"/>
      <x:c r="T232" s="50"/>
      <x:c r="U232" s="50"/>
      <x:c r="V232" s="50"/>
      <x:c r="W232" s="50"/>
      <x:c r="X232" s="50"/>
      <x:c r="Y232" s="50"/>
      <x:c r="Z232" s="50"/>
      <x:c r="AA232" s="50"/>
      <x:c r="AB232" s="50"/>
      <x:c r="AC232" s="50"/>
      <x:c r="AD232" s="50"/>
      <x:c r="AE232" s="50"/>
      <x:c r="AF232" s="50"/>
      <x:c r="AG232" s="50"/>
      <x:c r="AH232" s="50"/>
      <x:c r="AI232" s="50"/>
      <x:c r="AJ232" s="50"/>
      <x:c r="AK232" s="50"/>
      <x:c r="AL232" s="50"/>
      <x:c r="AM232" s="50"/>
      <x:c r="AN232" s="50"/>
      <x:c r="AO232" s="50"/>
      <x:c r="AP232" s="50"/>
      <x:c r="AQ232" s="50"/>
      <x:c r="AR232" s="50"/>
      <x:c r="AS232" s="50"/>
      <x:c r="AT232" s="50"/>
      <x:c r="AU232" s="50"/>
      <x:c r="AV232" s="50"/>
    </x:row>
    <x:row r="233" ht="15.75" customHeight="1">
      <x:c r="A233" s="50"/>
      <x:c r="B233" s="50"/>
      <x:c r="C233" s="50"/>
      <x:c r="D233" s="50"/>
      <x:c r="E233" s="50"/>
      <x:c r="F233" s="50"/>
      <x:c r="G233" s="50"/>
      <x:c r="H233" s="50"/>
      <x:c r="I233" s="50"/>
      <x:c r="J233" s="50"/>
      <x:c r="K233" s="50"/>
      <x:c r="L233" s="50"/>
      <x:c r="M233" s="50"/>
      <x:c r="N233" s="50"/>
      <x:c r="O233" s="50"/>
      <x:c r="P233" s="50"/>
      <x:c r="Q233" s="50"/>
      <x:c r="R233" s="50"/>
      <x:c r="S233" s="50"/>
      <x:c r="T233" s="50"/>
      <x:c r="U233" s="50"/>
      <x:c r="V233" s="50"/>
      <x:c r="W233" s="50"/>
      <x:c r="X233" s="50"/>
      <x:c r="Y233" s="50"/>
      <x:c r="Z233" s="50"/>
      <x:c r="AA233" s="50"/>
      <x:c r="AB233" s="50"/>
      <x:c r="AC233" s="50"/>
      <x:c r="AD233" s="50"/>
      <x:c r="AE233" s="50"/>
      <x:c r="AF233" s="50"/>
      <x:c r="AG233" s="50"/>
      <x:c r="AH233" s="50"/>
      <x:c r="AI233" s="50"/>
      <x:c r="AJ233" s="50"/>
      <x:c r="AK233" s="50"/>
      <x:c r="AL233" s="50"/>
      <x:c r="AM233" s="50"/>
      <x:c r="AN233" s="50"/>
      <x:c r="AO233" s="50"/>
      <x:c r="AP233" s="50"/>
      <x:c r="AQ233" s="50"/>
      <x:c r="AR233" s="50"/>
      <x:c r="AS233" s="50"/>
      <x:c r="AT233" s="50"/>
      <x:c r="AU233" s="50"/>
      <x:c r="AV233" s="50"/>
    </x:row>
    <x:row r="234" ht="15.75" customHeight="1">
      <x:c r="A234" s="50"/>
      <x:c r="B234" s="50"/>
      <x:c r="C234" s="50"/>
      <x:c r="D234" s="50"/>
      <x:c r="E234" s="50"/>
      <x:c r="F234" s="50"/>
      <x:c r="G234" s="50"/>
      <x:c r="H234" s="50"/>
      <x:c r="I234" s="50"/>
      <x:c r="J234" s="50"/>
      <x:c r="K234" s="50"/>
      <x:c r="L234" s="50"/>
      <x:c r="M234" s="50"/>
      <x:c r="N234" s="50"/>
      <x:c r="O234" s="50"/>
      <x:c r="P234" s="50"/>
      <x:c r="Q234" s="50"/>
      <x:c r="R234" s="50"/>
      <x:c r="S234" s="50"/>
      <x:c r="T234" s="50"/>
      <x:c r="U234" s="50"/>
      <x:c r="V234" s="50"/>
      <x:c r="W234" s="50"/>
      <x:c r="X234" s="50"/>
      <x:c r="Y234" s="50"/>
      <x:c r="Z234" s="50"/>
      <x:c r="AA234" s="50"/>
      <x:c r="AB234" s="50"/>
      <x:c r="AC234" s="50"/>
      <x:c r="AD234" s="50"/>
      <x:c r="AE234" s="50"/>
      <x:c r="AF234" s="50"/>
      <x:c r="AG234" s="50"/>
      <x:c r="AH234" s="50"/>
      <x:c r="AI234" s="50"/>
      <x:c r="AJ234" s="50"/>
      <x:c r="AK234" s="50"/>
      <x:c r="AL234" s="50"/>
      <x:c r="AM234" s="50"/>
      <x:c r="AN234" s="50"/>
      <x:c r="AO234" s="50"/>
      <x:c r="AP234" s="50"/>
      <x:c r="AQ234" s="50"/>
      <x:c r="AR234" s="50"/>
      <x:c r="AS234" s="50"/>
      <x:c r="AT234" s="50"/>
      <x:c r="AU234" s="50"/>
      <x:c r="AV234" s="50"/>
    </x:row>
    <x:row r="235" ht="15.75" customHeight="1">
      <x:c r="A235" s="50"/>
      <x:c r="B235" s="50"/>
      <x:c r="C235" s="50"/>
      <x:c r="D235" s="50"/>
      <x:c r="E235" s="50"/>
      <x:c r="F235" s="50"/>
      <x:c r="G235" s="50"/>
      <x:c r="H235" s="50"/>
      <x:c r="I235" s="50"/>
      <x:c r="J235" s="50"/>
      <x:c r="K235" s="50"/>
      <x:c r="L235" s="50"/>
      <x:c r="M235" s="50"/>
      <x:c r="N235" s="50"/>
      <x:c r="O235" s="50"/>
      <x:c r="P235" s="50"/>
      <x:c r="Q235" s="50"/>
      <x:c r="R235" s="50"/>
      <x:c r="S235" s="50"/>
      <x:c r="T235" s="50"/>
      <x:c r="U235" s="50"/>
      <x:c r="V235" s="50"/>
      <x:c r="W235" s="50"/>
      <x:c r="X235" s="50"/>
      <x:c r="Y235" s="50"/>
      <x:c r="Z235" s="50"/>
      <x:c r="AA235" s="50"/>
      <x:c r="AB235" s="50"/>
      <x:c r="AC235" s="50"/>
      <x:c r="AD235" s="50"/>
      <x:c r="AE235" s="50"/>
      <x:c r="AF235" s="50"/>
      <x:c r="AG235" s="50"/>
      <x:c r="AH235" s="50"/>
      <x:c r="AI235" s="50"/>
      <x:c r="AJ235" s="50"/>
      <x:c r="AK235" s="50"/>
      <x:c r="AL235" s="50"/>
      <x:c r="AM235" s="50"/>
      <x:c r="AN235" s="50"/>
      <x:c r="AO235" s="50"/>
      <x:c r="AP235" s="50"/>
      <x:c r="AQ235" s="50"/>
      <x:c r="AR235" s="50"/>
      <x:c r="AS235" s="50"/>
      <x:c r="AT235" s="50"/>
      <x:c r="AU235" s="50"/>
      <x:c r="AV235" s="50"/>
    </x:row>
    <x:row r="236" ht="15.75" customHeight="1">
      <x:c r="A236" s="50"/>
      <x:c r="B236" s="50"/>
      <x:c r="C236" s="50"/>
      <x:c r="D236" s="50"/>
      <x:c r="E236" s="50"/>
      <x:c r="F236" s="50"/>
      <x:c r="G236" s="50"/>
      <x:c r="H236" s="50"/>
      <x:c r="I236" s="50"/>
      <x:c r="J236" s="50"/>
      <x:c r="K236" s="50"/>
      <x:c r="L236" s="50"/>
      <x:c r="M236" s="50"/>
      <x:c r="N236" s="50"/>
      <x:c r="O236" s="50"/>
      <x:c r="P236" s="50"/>
      <x:c r="Q236" s="50"/>
      <x:c r="R236" s="50"/>
      <x:c r="S236" s="50"/>
      <x:c r="T236" s="50"/>
      <x:c r="U236" s="50"/>
      <x:c r="V236" s="50"/>
      <x:c r="W236" s="50"/>
      <x:c r="X236" s="50"/>
      <x:c r="Y236" s="50"/>
      <x:c r="Z236" s="50"/>
      <x:c r="AA236" s="50"/>
      <x:c r="AB236" s="50"/>
      <x:c r="AC236" s="50"/>
      <x:c r="AD236" s="50"/>
      <x:c r="AE236" s="50"/>
      <x:c r="AF236" s="50"/>
      <x:c r="AG236" s="50"/>
      <x:c r="AH236" s="50"/>
      <x:c r="AI236" s="50"/>
      <x:c r="AJ236" s="50"/>
      <x:c r="AK236" s="50"/>
      <x:c r="AL236" s="50"/>
      <x:c r="AM236" s="50"/>
      <x:c r="AN236" s="50"/>
      <x:c r="AO236" s="50"/>
      <x:c r="AP236" s="50"/>
      <x:c r="AQ236" s="50"/>
      <x:c r="AR236" s="50"/>
      <x:c r="AS236" s="50"/>
      <x:c r="AT236" s="50"/>
      <x:c r="AU236" s="50"/>
      <x:c r="AV236" s="50"/>
    </x:row>
    <x:row r="237" ht="15.75" customHeight="1">
      <x:c r="A237" s="50"/>
      <x:c r="B237" s="50"/>
      <x:c r="C237" s="50"/>
      <x:c r="D237" s="50"/>
      <x:c r="E237" s="50"/>
      <x:c r="F237" s="50"/>
      <x:c r="G237" s="50"/>
      <x:c r="H237" s="50"/>
      <x:c r="I237" s="50"/>
      <x:c r="J237" s="50"/>
      <x:c r="K237" s="50"/>
      <x:c r="L237" s="50"/>
      <x:c r="M237" s="50"/>
      <x:c r="N237" s="50"/>
      <x:c r="O237" s="50"/>
      <x:c r="P237" s="50"/>
      <x:c r="Q237" s="50"/>
      <x:c r="R237" s="50"/>
      <x:c r="S237" s="50"/>
      <x:c r="T237" s="50"/>
      <x:c r="U237" s="50"/>
      <x:c r="V237" s="50"/>
      <x:c r="W237" s="50"/>
      <x:c r="X237" s="50"/>
      <x:c r="Y237" s="50"/>
      <x:c r="Z237" s="50"/>
      <x:c r="AA237" s="50"/>
      <x:c r="AB237" s="50"/>
      <x:c r="AC237" s="50"/>
      <x:c r="AD237" s="50"/>
      <x:c r="AE237" s="50"/>
      <x:c r="AF237" s="50"/>
      <x:c r="AG237" s="50"/>
      <x:c r="AH237" s="50"/>
      <x:c r="AI237" s="50"/>
      <x:c r="AJ237" s="50"/>
      <x:c r="AK237" s="50"/>
      <x:c r="AL237" s="50"/>
      <x:c r="AM237" s="50"/>
      <x:c r="AN237" s="50"/>
      <x:c r="AO237" s="50"/>
      <x:c r="AP237" s="50"/>
      <x:c r="AQ237" s="50"/>
      <x:c r="AR237" s="50"/>
      <x:c r="AS237" s="50"/>
      <x:c r="AT237" s="50"/>
      <x:c r="AU237" s="50"/>
      <x:c r="AV237" s="50"/>
    </x:row>
    <x:row r="238" ht="15.75" customHeight="1">
      <x:c r="A238" s="50"/>
      <x:c r="B238" s="50"/>
      <x:c r="C238" s="50"/>
      <x:c r="D238" s="50"/>
      <x:c r="E238" s="50"/>
      <x:c r="F238" s="50"/>
      <x:c r="G238" s="50"/>
      <x:c r="H238" s="50"/>
      <x:c r="I238" s="50"/>
      <x:c r="J238" s="50"/>
      <x:c r="K238" s="50"/>
      <x:c r="L238" s="50"/>
      <x:c r="M238" s="50"/>
      <x:c r="N238" s="50"/>
      <x:c r="O238" s="50"/>
      <x:c r="P238" s="50"/>
      <x:c r="Q238" s="50"/>
      <x:c r="R238" s="50"/>
      <x:c r="S238" s="50"/>
      <x:c r="T238" s="50"/>
      <x:c r="U238" s="50"/>
      <x:c r="V238" s="50"/>
      <x:c r="W238" s="50"/>
      <x:c r="X238" s="50"/>
      <x:c r="Y238" s="50"/>
      <x:c r="Z238" s="50"/>
      <x:c r="AA238" s="50"/>
      <x:c r="AB238" s="50"/>
      <x:c r="AC238" s="50"/>
      <x:c r="AD238" s="50"/>
      <x:c r="AE238" s="50"/>
      <x:c r="AF238" s="50"/>
      <x:c r="AG238" s="50"/>
      <x:c r="AH238" s="50"/>
      <x:c r="AI238" s="50"/>
      <x:c r="AJ238" s="50"/>
      <x:c r="AK238" s="50"/>
      <x:c r="AL238" s="50"/>
      <x:c r="AM238" s="50"/>
      <x:c r="AN238" s="50"/>
      <x:c r="AO238" s="50"/>
      <x:c r="AP238" s="50"/>
      <x:c r="AQ238" s="50"/>
      <x:c r="AR238" s="50"/>
      <x:c r="AS238" s="50"/>
      <x:c r="AT238" s="50"/>
      <x:c r="AU238" s="50"/>
      <x:c r="AV238" s="50"/>
    </x:row>
    <x:row r="239" ht="15.75" customHeight="1">
      <x:c r="A239" s="50"/>
      <x:c r="B239" s="50"/>
      <x:c r="C239" s="50"/>
      <x:c r="D239" s="50"/>
      <x:c r="E239" s="50"/>
      <x:c r="F239" s="50"/>
      <x:c r="G239" s="50"/>
      <x:c r="H239" s="50"/>
      <x:c r="I239" s="50"/>
      <x:c r="J239" s="50"/>
      <x:c r="K239" s="50"/>
      <x:c r="L239" s="50"/>
      <x:c r="M239" s="50"/>
      <x:c r="N239" s="50"/>
      <x:c r="O239" s="50"/>
      <x:c r="P239" s="50"/>
      <x:c r="Q239" s="50"/>
      <x:c r="R239" s="50"/>
      <x:c r="S239" s="50"/>
      <x:c r="T239" s="50"/>
      <x:c r="U239" s="50"/>
      <x:c r="V239" s="50"/>
      <x:c r="W239" s="50"/>
      <x:c r="X239" s="50"/>
      <x:c r="Y239" s="50"/>
      <x:c r="Z239" s="50"/>
      <x:c r="AA239" s="50"/>
      <x:c r="AB239" s="50"/>
      <x:c r="AC239" s="50"/>
      <x:c r="AD239" s="50"/>
      <x:c r="AE239" s="50"/>
      <x:c r="AF239" s="50"/>
      <x:c r="AG239" s="50"/>
      <x:c r="AH239" s="50"/>
      <x:c r="AI239" s="50"/>
      <x:c r="AJ239" s="50"/>
      <x:c r="AK239" s="50"/>
      <x:c r="AL239" s="50"/>
      <x:c r="AM239" s="50"/>
      <x:c r="AN239" s="50"/>
      <x:c r="AO239" s="50"/>
      <x:c r="AP239" s="50"/>
      <x:c r="AQ239" s="50"/>
      <x:c r="AR239" s="50"/>
      <x:c r="AS239" s="50"/>
      <x:c r="AT239" s="50"/>
      <x:c r="AU239" s="50"/>
      <x:c r="AV239" s="50"/>
    </x:row>
    <x:row r="240" ht="15.75" customHeight="1">
      <x:c r="A240" s="50"/>
      <x:c r="B240" s="50"/>
      <x:c r="C240" s="50"/>
      <x:c r="D240" s="50"/>
      <x:c r="E240" s="50"/>
      <x:c r="F240" s="50"/>
      <x:c r="G240" s="50"/>
      <x:c r="H240" s="50"/>
      <x:c r="I240" s="50"/>
      <x:c r="J240" s="50"/>
      <x:c r="K240" s="50"/>
      <x:c r="L240" s="50"/>
      <x:c r="M240" s="50"/>
      <x:c r="N240" s="50"/>
      <x:c r="O240" s="50"/>
      <x:c r="P240" s="50"/>
      <x:c r="Q240" s="50"/>
      <x:c r="R240" s="50"/>
      <x:c r="S240" s="50"/>
      <x:c r="T240" s="50"/>
      <x:c r="U240" s="50"/>
      <x:c r="V240" s="50"/>
      <x:c r="W240" s="50"/>
      <x:c r="X240" s="50"/>
      <x:c r="Y240" s="50"/>
      <x:c r="Z240" s="50"/>
      <x:c r="AA240" s="50"/>
      <x:c r="AB240" s="50"/>
      <x:c r="AC240" s="50"/>
      <x:c r="AD240" s="50"/>
      <x:c r="AE240" s="50"/>
      <x:c r="AF240" s="50"/>
      <x:c r="AG240" s="50"/>
      <x:c r="AH240" s="50"/>
      <x:c r="AI240" s="50"/>
      <x:c r="AJ240" s="50"/>
      <x:c r="AK240" s="50"/>
      <x:c r="AL240" s="50"/>
      <x:c r="AM240" s="50"/>
      <x:c r="AN240" s="50"/>
      <x:c r="AO240" s="50"/>
      <x:c r="AP240" s="50"/>
      <x:c r="AQ240" s="50"/>
      <x:c r="AR240" s="50"/>
      <x:c r="AS240" s="50"/>
      <x:c r="AT240" s="50"/>
      <x:c r="AU240" s="50"/>
      <x:c r="AV240" s="50"/>
    </x:row>
    <x:row r="241" ht="15.75" customHeight="1">
      <x:c r="A241" s="50"/>
      <x:c r="B241" s="50"/>
      <x:c r="C241" s="50"/>
      <x:c r="D241" s="50"/>
      <x:c r="E241" s="50"/>
      <x:c r="F241" s="50"/>
      <x:c r="G241" s="50"/>
      <x:c r="H241" s="50"/>
      <x:c r="I241" s="50"/>
      <x:c r="J241" s="50"/>
      <x:c r="K241" s="50"/>
      <x:c r="L241" s="50"/>
      <x:c r="M241" s="50"/>
      <x:c r="N241" s="50"/>
      <x:c r="O241" s="50"/>
      <x:c r="P241" s="50"/>
      <x:c r="Q241" s="50"/>
      <x:c r="R241" s="50"/>
      <x:c r="S241" s="50"/>
      <x:c r="T241" s="50"/>
      <x:c r="U241" s="50"/>
      <x:c r="V241" s="50"/>
      <x:c r="W241" s="50"/>
      <x:c r="X241" s="50"/>
      <x:c r="Y241" s="50"/>
      <x:c r="Z241" s="50"/>
      <x:c r="AA241" s="50"/>
      <x:c r="AB241" s="50"/>
      <x:c r="AC241" s="50"/>
      <x:c r="AD241" s="50"/>
      <x:c r="AE241" s="50"/>
      <x:c r="AF241" s="50"/>
      <x:c r="AG241" s="50"/>
      <x:c r="AH241" s="50"/>
      <x:c r="AI241" s="50"/>
      <x:c r="AJ241" s="50"/>
      <x:c r="AK241" s="50"/>
      <x:c r="AL241" s="50"/>
      <x:c r="AM241" s="50"/>
      <x:c r="AN241" s="50"/>
      <x:c r="AO241" s="50"/>
      <x:c r="AP241" s="50"/>
      <x:c r="AQ241" s="50"/>
      <x:c r="AR241" s="50"/>
      <x:c r="AS241" s="50"/>
      <x:c r="AT241" s="50"/>
      <x:c r="AU241" s="50"/>
      <x:c r="AV241" s="50"/>
    </x:row>
    <x:row r="242" ht="15.75" customHeight="1">
      <x:c r="A242" s="50"/>
      <x:c r="B242" s="50"/>
      <x:c r="C242" s="50"/>
      <x:c r="D242" s="50"/>
      <x:c r="E242" s="50"/>
      <x:c r="F242" s="50"/>
      <x:c r="G242" s="50"/>
      <x:c r="H242" s="50"/>
      <x:c r="I242" s="50"/>
      <x:c r="J242" s="50"/>
      <x:c r="K242" s="50"/>
      <x:c r="L242" s="50"/>
      <x:c r="M242" s="50"/>
      <x:c r="N242" s="50"/>
      <x:c r="O242" s="50"/>
      <x:c r="P242" s="50"/>
      <x:c r="Q242" s="50"/>
      <x:c r="R242" s="50"/>
      <x:c r="S242" s="50"/>
      <x:c r="T242" s="50"/>
      <x:c r="U242" s="50"/>
      <x:c r="V242" s="50"/>
      <x:c r="W242" s="50"/>
      <x:c r="X242" s="50"/>
      <x:c r="Y242" s="50"/>
      <x:c r="Z242" s="50"/>
      <x:c r="AA242" s="50"/>
      <x:c r="AB242" s="50"/>
      <x:c r="AC242" s="50"/>
      <x:c r="AD242" s="50"/>
      <x:c r="AE242" s="50"/>
      <x:c r="AF242" s="50"/>
      <x:c r="AG242" s="50"/>
      <x:c r="AH242" s="50"/>
      <x:c r="AI242" s="50"/>
      <x:c r="AJ242" s="50"/>
      <x:c r="AK242" s="50"/>
      <x:c r="AL242" s="50"/>
      <x:c r="AM242" s="50"/>
      <x:c r="AN242" s="50"/>
      <x:c r="AO242" s="50"/>
      <x:c r="AP242" s="50"/>
      <x:c r="AQ242" s="50"/>
      <x:c r="AR242" s="50"/>
      <x:c r="AS242" s="50"/>
      <x:c r="AT242" s="50"/>
      <x:c r="AU242" s="50"/>
      <x:c r="AV242" s="50"/>
    </x:row>
    <x:row r="243" ht="15.75" customHeight="1">
      <x:c r="A243" s="50"/>
      <x:c r="B243" s="50"/>
      <x:c r="C243" s="50"/>
      <x:c r="D243" s="50"/>
      <x:c r="E243" s="50"/>
      <x:c r="F243" s="50"/>
      <x:c r="G243" s="50"/>
      <x:c r="H243" s="50"/>
      <x:c r="I243" s="50"/>
      <x:c r="J243" s="50"/>
      <x:c r="K243" s="50"/>
      <x:c r="L243" s="50"/>
      <x:c r="M243" s="50"/>
      <x:c r="N243" s="50"/>
      <x:c r="O243" s="50"/>
      <x:c r="P243" s="50"/>
      <x:c r="Q243" s="50"/>
      <x:c r="R243" s="50"/>
      <x:c r="S243" s="50"/>
      <x:c r="T243" s="50"/>
      <x:c r="U243" s="50"/>
      <x:c r="V243" s="50"/>
      <x:c r="W243" s="50"/>
      <x:c r="X243" s="50"/>
      <x:c r="Y243" s="50"/>
      <x:c r="Z243" s="50"/>
      <x:c r="AA243" s="50"/>
      <x:c r="AB243" s="50"/>
      <x:c r="AC243" s="50"/>
      <x:c r="AD243" s="50"/>
      <x:c r="AE243" s="50"/>
      <x:c r="AF243" s="50"/>
      <x:c r="AG243" s="50"/>
      <x:c r="AH243" s="50"/>
      <x:c r="AI243" s="50"/>
      <x:c r="AJ243" s="50"/>
      <x:c r="AK243" s="50"/>
      <x:c r="AL243" s="50"/>
      <x:c r="AM243" s="50"/>
      <x:c r="AN243" s="50"/>
      <x:c r="AO243" s="50"/>
      <x:c r="AP243" s="50"/>
      <x:c r="AQ243" s="50"/>
      <x:c r="AR243" s="50"/>
      <x:c r="AS243" s="50"/>
      <x:c r="AT243" s="50"/>
      <x:c r="AU243" s="50"/>
      <x:c r="AV243" s="50"/>
    </x:row>
    <x:row r="244" ht="15.75" customHeight="1">
      <x:c r="A244" s="50"/>
      <x:c r="B244" s="50"/>
      <x:c r="C244" s="50"/>
      <x:c r="D244" s="50"/>
      <x:c r="E244" s="50"/>
      <x:c r="F244" s="50"/>
      <x:c r="G244" s="50"/>
      <x:c r="H244" s="50"/>
      <x:c r="I244" s="50"/>
      <x:c r="J244" s="50"/>
      <x:c r="K244" s="50"/>
      <x:c r="L244" s="50"/>
      <x:c r="M244" s="50"/>
      <x:c r="N244" s="50"/>
      <x:c r="O244" s="50"/>
      <x:c r="P244" s="50"/>
      <x:c r="Q244" s="50"/>
      <x:c r="R244" s="50"/>
      <x:c r="S244" s="50"/>
      <x:c r="T244" s="50"/>
      <x:c r="U244" s="50"/>
      <x:c r="V244" s="50"/>
      <x:c r="W244" s="50"/>
      <x:c r="X244" s="50"/>
      <x:c r="Y244" s="50"/>
      <x:c r="Z244" s="50"/>
      <x:c r="AA244" s="50"/>
      <x:c r="AB244" s="50"/>
      <x:c r="AC244" s="50"/>
      <x:c r="AD244" s="50"/>
      <x:c r="AE244" s="50"/>
      <x:c r="AF244" s="50"/>
      <x:c r="AG244" s="50"/>
      <x:c r="AH244" s="50"/>
      <x:c r="AI244" s="50"/>
      <x:c r="AJ244" s="50"/>
      <x:c r="AK244" s="50"/>
      <x:c r="AL244" s="50"/>
      <x:c r="AM244" s="50"/>
      <x:c r="AN244" s="50"/>
      <x:c r="AO244" s="50"/>
      <x:c r="AP244" s="50"/>
      <x:c r="AQ244" s="50"/>
      <x:c r="AR244" s="50"/>
      <x:c r="AS244" s="50"/>
      <x:c r="AT244" s="50"/>
      <x:c r="AU244" s="50"/>
      <x:c r="AV244" s="50"/>
    </x:row>
    <x:row r="245" ht="15.75" customHeight="1">
      <x:c r="A245" s="50"/>
      <x:c r="B245" s="50"/>
      <x:c r="C245" s="50"/>
      <x:c r="D245" s="50"/>
      <x:c r="E245" s="50"/>
      <x:c r="F245" s="50"/>
      <x:c r="G245" s="50"/>
      <x:c r="H245" s="50"/>
      <x:c r="I245" s="50"/>
      <x:c r="J245" s="50"/>
      <x:c r="K245" s="50"/>
      <x:c r="L245" s="50"/>
      <x:c r="M245" s="50"/>
      <x:c r="N245" s="50"/>
      <x:c r="O245" s="50"/>
      <x:c r="P245" s="50"/>
      <x:c r="Q245" s="50"/>
      <x:c r="R245" s="50"/>
      <x:c r="S245" s="50"/>
      <x:c r="T245" s="50"/>
      <x:c r="U245" s="50"/>
      <x:c r="V245" s="50"/>
      <x:c r="W245" s="50"/>
      <x:c r="X245" s="50"/>
      <x:c r="Y245" s="50"/>
      <x:c r="Z245" s="50"/>
      <x:c r="AA245" s="50"/>
      <x:c r="AB245" s="50"/>
      <x:c r="AC245" s="50"/>
      <x:c r="AD245" s="50"/>
      <x:c r="AE245" s="50"/>
      <x:c r="AF245" s="50"/>
      <x:c r="AG245" s="50"/>
      <x:c r="AH245" s="50"/>
      <x:c r="AI245" s="50"/>
      <x:c r="AJ245" s="50"/>
      <x:c r="AK245" s="50"/>
      <x:c r="AL245" s="50"/>
      <x:c r="AM245" s="50"/>
      <x:c r="AN245" s="50"/>
      <x:c r="AO245" s="50"/>
      <x:c r="AP245" s="50"/>
      <x:c r="AQ245" s="50"/>
      <x:c r="AR245" s="50"/>
      <x:c r="AS245" s="50"/>
      <x:c r="AT245" s="50"/>
      <x:c r="AU245" s="50"/>
      <x:c r="AV245" s="50"/>
    </x:row>
    <x:row r="246" ht="15.75" customHeight="1">
      <x:c r="A246" s="50"/>
      <x:c r="B246" s="50"/>
      <x:c r="C246" s="50"/>
      <x:c r="D246" s="50"/>
      <x:c r="E246" s="50"/>
      <x:c r="F246" s="50"/>
      <x:c r="G246" s="50"/>
      <x:c r="H246" s="50"/>
      <x:c r="I246" s="50"/>
      <x:c r="J246" s="50"/>
      <x:c r="K246" s="50"/>
      <x:c r="L246" s="50"/>
      <x:c r="M246" s="50"/>
      <x:c r="N246" s="50"/>
      <x:c r="O246" s="50"/>
      <x:c r="P246" s="50"/>
      <x:c r="Q246" s="50"/>
      <x:c r="R246" s="50"/>
      <x:c r="S246" s="50"/>
      <x:c r="T246" s="50"/>
      <x:c r="U246" s="50"/>
      <x:c r="V246" s="50"/>
      <x:c r="W246" s="50"/>
      <x:c r="X246" s="50"/>
      <x:c r="Y246" s="50"/>
      <x:c r="Z246" s="50"/>
      <x:c r="AA246" s="50"/>
      <x:c r="AB246" s="50"/>
      <x:c r="AC246" s="50"/>
      <x:c r="AD246" s="50"/>
      <x:c r="AE246" s="50"/>
      <x:c r="AF246" s="50"/>
      <x:c r="AG246" s="50"/>
      <x:c r="AH246" s="50"/>
      <x:c r="AI246" s="50"/>
      <x:c r="AJ246" s="50"/>
      <x:c r="AK246" s="50"/>
      <x:c r="AL246" s="50"/>
      <x:c r="AM246" s="50"/>
      <x:c r="AN246" s="50"/>
      <x:c r="AO246" s="50"/>
      <x:c r="AP246" s="50"/>
      <x:c r="AQ246" s="50"/>
      <x:c r="AR246" s="50"/>
      <x:c r="AS246" s="50"/>
      <x:c r="AT246" s="50"/>
      <x:c r="AU246" s="50"/>
      <x:c r="AV246" s="50"/>
    </x:row>
    <x:row r="247" ht="15.75" customHeight="1">
      <x:c r="A247" s="50"/>
      <x:c r="B247" s="50"/>
      <x:c r="C247" s="50"/>
      <x:c r="D247" s="50"/>
      <x:c r="E247" s="50"/>
      <x:c r="F247" s="50"/>
      <x:c r="G247" s="50"/>
      <x:c r="H247" s="50"/>
      <x:c r="I247" s="50"/>
      <x:c r="J247" s="50"/>
      <x:c r="K247" s="50"/>
      <x:c r="L247" s="50"/>
      <x:c r="M247" s="50"/>
      <x:c r="N247" s="50"/>
      <x:c r="O247" s="50"/>
      <x:c r="P247" s="50"/>
      <x:c r="Q247" s="50"/>
      <x:c r="R247" s="50"/>
      <x:c r="S247" s="50"/>
      <x:c r="T247" s="50"/>
      <x:c r="U247" s="50"/>
      <x:c r="V247" s="50"/>
      <x:c r="W247" s="50"/>
      <x:c r="X247" s="50"/>
      <x:c r="Y247" s="50"/>
      <x:c r="Z247" s="50"/>
      <x:c r="AA247" s="50"/>
      <x:c r="AB247" s="50"/>
      <x:c r="AC247" s="50"/>
      <x:c r="AD247" s="50"/>
      <x:c r="AE247" s="50"/>
      <x:c r="AF247" s="50"/>
      <x:c r="AG247" s="50"/>
      <x:c r="AH247" s="50"/>
      <x:c r="AI247" s="50"/>
      <x:c r="AJ247" s="50"/>
      <x:c r="AK247" s="50"/>
      <x:c r="AL247" s="50"/>
      <x:c r="AM247" s="50"/>
      <x:c r="AN247" s="50"/>
      <x:c r="AO247" s="50"/>
      <x:c r="AP247" s="50"/>
      <x:c r="AQ247" s="50"/>
      <x:c r="AR247" s="50"/>
      <x:c r="AS247" s="50"/>
      <x:c r="AT247" s="50"/>
      <x:c r="AU247" s="50"/>
      <x:c r="AV247" s="50"/>
    </x:row>
    <x:row r="248" ht="15.75" customHeight="1">
      <x:c r="A248" s="50"/>
      <x:c r="B248" s="50"/>
      <x:c r="C248" s="50"/>
      <x:c r="D248" s="50"/>
      <x:c r="E248" s="50"/>
      <x:c r="F248" s="50"/>
      <x:c r="G248" s="50"/>
      <x:c r="H248" s="50"/>
      <x:c r="I248" s="50"/>
      <x:c r="J248" s="50"/>
      <x:c r="K248" s="50"/>
      <x:c r="L248" s="50"/>
      <x:c r="M248" s="50"/>
      <x:c r="N248" s="50"/>
      <x:c r="O248" s="50"/>
      <x:c r="P248" s="50"/>
      <x:c r="Q248" s="50"/>
      <x:c r="R248" s="50"/>
      <x:c r="S248" s="50"/>
      <x:c r="T248" s="50"/>
      <x:c r="U248" s="50"/>
      <x:c r="V248" s="50"/>
      <x:c r="W248" s="50"/>
      <x:c r="X248" s="50"/>
      <x:c r="Y248" s="50"/>
      <x:c r="Z248" s="50"/>
      <x:c r="AA248" s="50"/>
      <x:c r="AB248" s="50"/>
      <x:c r="AC248" s="50"/>
      <x:c r="AD248" s="50"/>
      <x:c r="AE248" s="50"/>
      <x:c r="AF248" s="50"/>
      <x:c r="AG248" s="50"/>
      <x:c r="AH248" s="50"/>
      <x:c r="AI248" s="50"/>
      <x:c r="AJ248" s="50"/>
      <x:c r="AK248" s="50"/>
      <x:c r="AL248" s="50"/>
      <x:c r="AM248" s="50"/>
      <x:c r="AN248" s="50"/>
      <x:c r="AO248" s="50"/>
      <x:c r="AP248" s="50"/>
      <x:c r="AQ248" s="50"/>
      <x:c r="AR248" s="50"/>
      <x:c r="AS248" s="50"/>
      <x:c r="AT248" s="50"/>
      <x:c r="AU248" s="50"/>
      <x:c r="AV248" s="50"/>
    </x:row>
    <x:row r="249" ht="15.75" customHeight="1">
      <x:c r="A249" s="50"/>
      <x:c r="B249" s="50"/>
      <x:c r="C249" s="50"/>
      <x:c r="D249" s="50"/>
      <x:c r="E249" s="50"/>
      <x:c r="F249" s="50"/>
      <x:c r="G249" s="50"/>
      <x:c r="H249" s="50"/>
      <x:c r="I249" s="50"/>
      <x:c r="J249" s="50"/>
      <x:c r="K249" s="50"/>
      <x:c r="L249" s="50"/>
      <x:c r="M249" s="50"/>
      <x:c r="N249" s="50"/>
      <x:c r="O249" s="50"/>
      <x:c r="P249" s="50"/>
      <x:c r="Q249" s="50"/>
      <x:c r="R249" s="50"/>
      <x:c r="S249" s="50"/>
      <x:c r="T249" s="50"/>
      <x:c r="U249" s="50"/>
      <x:c r="V249" s="50"/>
      <x:c r="W249" s="50"/>
      <x:c r="X249" s="50"/>
      <x:c r="Y249" s="50"/>
      <x:c r="Z249" s="50"/>
      <x:c r="AA249" s="50"/>
      <x:c r="AB249" s="50"/>
      <x:c r="AC249" s="50"/>
      <x:c r="AD249" s="50"/>
      <x:c r="AE249" s="50"/>
      <x:c r="AF249" s="50"/>
      <x:c r="AG249" s="50"/>
      <x:c r="AH249" s="50"/>
      <x:c r="AI249" s="50"/>
      <x:c r="AJ249" s="50"/>
      <x:c r="AK249" s="50"/>
      <x:c r="AL249" s="50"/>
      <x:c r="AM249" s="50"/>
      <x:c r="AN249" s="50"/>
      <x:c r="AO249" s="50"/>
      <x:c r="AP249" s="50"/>
      <x:c r="AQ249" s="50"/>
      <x:c r="AR249" s="50"/>
      <x:c r="AS249" s="50"/>
      <x:c r="AT249" s="50"/>
      <x:c r="AU249" s="50"/>
      <x:c r="AV249" s="50"/>
    </x:row>
    <x:row r="250" ht="15.75" customHeight="1">
      <x:c r="A250" s="50"/>
      <x:c r="B250" s="50"/>
      <x:c r="C250" s="50"/>
      <x:c r="D250" s="50"/>
      <x:c r="E250" s="50"/>
      <x:c r="F250" s="50"/>
      <x:c r="G250" s="50"/>
      <x:c r="H250" s="50"/>
      <x:c r="I250" s="50"/>
      <x:c r="J250" s="50"/>
      <x:c r="K250" s="50"/>
      <x:c r="L250" s="50"/>
      <x:c r="M250" s="50"/>
      <x:c r="N250" s="50"/>
      <x:c r="O250" s="50"/>
      <x:c r="P250" s="50"/>
      <x:c r="Q250" s="50"/>
      <x:c r="R250" s="50"/>
      <x:c r="S250" s="50"/>
      <x:c r="T250" s="50"/>
      <x:c r="U250" s="50"/>
      <x:c r="V250" s="50"/>
      <x:c r="W250" s="50"/>
      <x:c r="X250" s="50"/>
      <x:c r="Y250" s="50"/>
      <x:c r="Z250" s="50"/>
      <x:c r="AA250" s="50"/>
      <x:c r="AB250" s="50"/>
      <x:c r="AC250" s="50"/>
      <x:c r="AD250" s="50"/>
      <x:c r="AE250" s="50"/>
      <x:c r="AF250" s="50"/>
      <x:c r="AG250" s="50"/>
      <x:c r="AH250" s="50"/>
      <x:c r="AI250" s="50"/>
      <x:c r="AJ250" s="50"/>
      <x:c r="AK250" s="50"/>
      <x:c r="AL250" s="50"/>
      <x:c r="AM250" s="50"/>
      <x:c r="AN250" s="50"/>
      <x:c r="AO250" s="50"/>
      <x:c r="AP250" s="50"/>
      <x:c r="AQ250" s="50"/>
      <x:c r="AR250" s="50"/>
      <x:c r="AS250" s="50"/>
      <x:c r="AT250" s="50"/>
      <x:c r="AU250" s="50"/>
      <x:c r="AV250" s="50"/>
    </x:row>
    <x:row r="251" ht="15.75" customHeight="1">
      <x:c r="A251" s="50"/>
      <x:c r="B251" s="50"/>
      <x:c r="C251" s="50"/>
      <x:c r="D251" s="50"/>
      <x:c r="E251" s="50"/>
      <x:c r="F251" s="50"/>
      <x:c r="G251" s="50"/>
      <x:c r="H251" s="50"/>
      <x:c r="I251" s="50"/>
      <x:c r="J251" s="50"/>
      <x:c r="K251" s="50"/>
      <x:c r="L251" s="50"/>
      <x:c r="M251" s="50"/>
      <x:c r="N251" s="50"/>
      <x:c r="O251" s="50"/>
      <x:c r="P251" s="50"/>
      <x:c r="Q251" s="50"/>
      <x:c r="R251" s="50"/>
      <x:c r="S251" s="50"/>
      <x:c r="T251" s="50"/>
      <x:c r="U251" s="50"/>
      <x:c r="V251" s="50"/>
      <x:c r="W251" s="50"/>
      <x:c r="X251" s="50"/>
      <x:c r="Y251" s="50"/>
      <x:c r="Z251" s="50"/>
      <x:c r="AA251" s="50"/>
      <x:c r="AB251" s="50"/>
      <x:c r="AC251" s="50"/>
      <x:c r="AD251" s="50"/>
      <x:c r="AE251" s="50"/>
      <x:c r="AF251" s="50"/>
      <x:c r="AG251" s="50"/>
      <x:c r="AH251" s="50"/>
      <x:c r="AI251" s="50"/>
      <x:c r="AJ251" s="50"/>
      <x:c r="AK251" s="50"/>
      <x:c r="AL251" s="50"/>
      <x:c r="AM251" s="50"/>
      <x:c r="AN251" s="50"/>
      <x:c r="AO251" s="50"/>
      <x:c r="AP251" s="50"/>
      <x:c r="AQ251" s="50"/>
      <x:c r="AR251" s="50"/>
      <x:c r="AS251" s="50"/>
      <x:c r="AT251" s="50"/>
      <x:c r="AU251" s="50"/>
      <x:c r="AV251" s="50"/>
    </x:row>
    <x:row r="252" ht="15.75" customHeight="1">
      <x:c r="A252" s="50"/>
      <x:c r="B252" s="50"/>
      <x:c r="C252" s="50"/>
      <x:c r="D252" s="50"/>
      <x:c r="E252" s="50"/>
      <x:c r="F252" s="50"/>
      <x:c r="G252" s="50"/>
      <x:c r="H252" s="50"/>
      <x:c r="I252" s="50"/>
      <x:c r="J252" s="50"/>
      <x:c r="K252" s="50"/>
      <x:c r="L252" s="50"/>
      <x:c r="M252" s="50"/>
      <x:c r="N252" s="50"/>
      <x:c r="O252" s="50"/>
      <x:c r="P252" s="50"/>
      <x:c r="Q252" s="50"/>
      <x:c r="R252" s="50"/>
      <x:c r="S252" s="50"/>
      <x:c r="T252" s="50"/>
      <x:c r="U252" s="50"/>
      <x:c r="V252" s="50"/>
      <x:c r="W252" s="50"/>
      <x:c r="X252" s="50"/>
      <x:c r="Y252" s="50"/>
      <x:c r="Z252" s="50"/>
      <x:c r="AA252" s="50"/>
      <x:c r="AB252" s="50"/>
      <x:c r="AC252" s="50"/>
      <x:c r="AD252" s="50"/>
      <x:c r="AE252" s="50"/>
      <x:c r="AF252" s="50"/>
      <x:c r="AG252" s="50"/>
      <x:c r="AH252" s="50"/>
      <x:c r="AI252" s="50"/>
      <x:c r="AJ252" s="50"/>
      <x:c r="AK252" s="50"/>
      <x:c r="AL252" s="50"/>
      <x:c r="AM252" s="50"/>
      <x:c r="AN252" s="50"/>
      <x:c r="AO252" s="50"/>
      <x:c r="AP252" s="50"/>
      <x:c r="AQ252" s="50"/>
      <x:c r="AR252" s="50"/>
      <x:c r="AS252" s="50"/>
      <x:c r="AT252" s="50"/>
      <x:c r="AU252" s="50"/>
      <x:c r="AV252" s="50"/>
    </x:row>
    <x:row r="253" ht="15.75" customHeight="1">
      <x:c r="A253" s="50"/>
      <x:c r="B253" s="50"/>
      <x:c r="C253" s="50"/>
      <x:c r="D253" s="50"/>
      <x:c r="E253" s="50"/>
      <x:c r="F253" s="50"/>
      <x:c r="G253" s="50"/>
      <x:c r="H253" s="50"/>
      <x:c r="I253" s="50"/>
      <x:c r="J253" s="50"/>
      <x:c r="K253" s="50"/>
      <x:c r="L253" s="50"/>
      <x:c r="M253" s="50"/>
      <x:c r="N253" s="50"/>
      <x:c r="O253" s="50"/>
      <x:c r="P253" s="50"/>
      <x:c r="Q253" s="50"/>
      <x:c r="R253" s="50"/>
      <x:c r="S253" s="50"/>
      <x:c r="T253" s="50"/>
      <x:c r="U253" s="50"/>
      <x:c r="V253" s="50"/>
      <x:c r="W253" s="50"/>
      <x:c r="X253" s="50"/>
      <x:c r="Y253" s="50"/>
      <x:c r="Z253" s="50"/>
      <x:c r="AA253" s="50"/>
      <x:c r="AB253" s="50"/>
      <x:c r="AC253" s="50"/>
      <x:c r="AD253" s="50"/>
      <x:c r="AE253" s="50"/>
      <x:c r="AF253" s="50"/>
      <x:c r="AG253" s="50"/>
      <x:c r="AH253" s="50"/>
      <x:c r="AI253" s="50"/>
      <x:c r="AJ253" s="50"/>
      <x:c r="AK253" s="50"/>
      <x:c r="AL253" s="50"/>
      <x:c r="AM253" s="50"/>
      <x:c r="AN253" s="50"/>
      <x:c r="AO253" s="50"/>
      <x:c r="AP253" s="50"/>
      <x:c r="AQ253" s="50"/>
      <x:c r="AR253" s="50"/>
      <x:c r="AS253" s="50"/>
      <x:c r="AT253" s="50"/>
      <x:c r="AU253" s="50"/>
      <x:c r="AV253" s="50"/>
    </x:row>
    <x:row r="254" ht="15.75" customHeight="1">
      <x:c r="A254" s="50"/>
      <x:c r="B254" s="50"/>
      <x:c r="C254" s="50"/>
      <x:c r="D254" s="50"/>
      <x:c r="E254" s="50"/>
      <x:c r="F254" s="50"/>
      <x:c r="G254" s="50"/>
      <x:c r="H254" s="50"/>
      <x:c r="I254" s="50"/>
      <x:c r="J254" s="50"/>
      <x:c r="K254" s="50"/>
      <x:c r="L254" s="50"/>
      <x:c r="M254" s="50"/>
      <x:c r="N254" s="50"/>
      <x:c r="O254" s="50"/>
      <x:c r="P254" s="50"/>
      <x:c r="Q254" s="50"/>
      <x:c r="R254" s="50"/>
      <x:c r="S254" s="50"/>
      <x:c r="T254" s="50"/>
      <x:c r="U254" s="50"/>
      <x:c r="V254" s="50"/>
      <x:c r="W254" s="50"/>
      <x:c r="X254" s="50"/>
      <x:c r="Y254" s="50"/>
      <x:c r="Z254" s="50"/>
      <x:c r="AA254" s="50"/>
      <x:c r="AB254" s="50"/>
      <x:c r="AC254" s="50"/>
      <x:c r="AD254" s="50"/>
      <x:c r="AE254" s="50"/>
      <x:c r="AF254" s="50"/>
      <x:c r="AG254" s="50"/>
      <x:c r="AH254" s="50"/>
      <x:c r="AI254" s="50"/>
      <x:c r="AJ254" s="50"/>
      <x:c r="AK254" s="50"/>
      <x:c r="AL254" s="50"/>
      <x:c r="AM254" s="50"/>
      <x:c r="AN254" s="50"/>
      <x:c r="AO254" s="50"/>
      <x:c r="AP254" s="50"/>
      <x:c r="AQ254" s="50"/>
      <x:c r="AR254" s="50"/>
      <x:c r="AS254" s="50"/>
      <x:c r="AT254" s="50"/>
      <x:c r="AU254" s="50"/>
      <x:c r="AV254" s="50"/>
    </x:row>
    <x:row r="255" ht="15.75" customHeight="1">
      <x:c r="A255" s="50"/>
      <x:c r="B255" s="50"/>
      <x:c r="C255" s="50"/>
      <x:c r="D255" s="50"/>
      <x:c r="E255" s="50"/>
      <x:c r="F255" s="50"/>
      <x:c r="G255" s="50"/>
      <x:c r="H255" s="50"/>
      <x:c r="I255" s="50"/>
      <x:c r="J255" s="50"/>
      <x:c r="K255" s="50"/>
      <x:c r="L255" s="50"/>
      <x:c r="M255" s="50"/>
      <x:c r="N255" s="50"/>
      <x:c r="O255" s="50"/>
      <x:c r="P255" s="50"/>
      <x:c r="Q255" s="50"/>
      <x:c r="R255" s="50"/>
      <x:c r="S255" s="50"/>
      <x:c r="T255" s="50"/>
      <x:c r="U255" s="50"/>
      <x:c r="V255" s="50"/>
      <x:c r="W255" s="50"/>
      <x:c r="X255" s="50"/>
      <x:c r="Y255" s="50"/>
      <x:c r="Z255" s="50"/>
      <x:c r="AA255" s="50"/>
      <x:c r="AB255" s="50"/>
      <x:c r="AC255" s="50"/>
      <x:c r="AD255" s="50"/>
      <x:c r="AE255" s="50"/>
      <x:c r="AF255" s="50"/>
      <x:c r="AG255" s="50"/>
      <x:c r="AH255" s="50"/>
      <x:c r="AI255" s="50"/>
      <x:c r="AJ255" s="50"/>
      <x:c r="AK255" s="50"/>
      <x:c r="AL255" s="50"/>
      <x:c r="AM255" s="50"/>
      <x:c r="AN255" s="50"/>
      <x:c r="AO255" s="50"/>
      <x:c r="AP255" s="50"/>
      <x:c r="AQ255" s="50"/>
      <x:c r="AR255" s="50"/>
      <x:c r="AS255" s="50"/>
      <x:c r="AT255" s="50"/>
      <x:c r="AU255" s="50"/>
      <x:c r="AV255" s="50"/>
    </x:row>
    <x:row r="256" ht="15.75" customHeight="1">
      <x:c r="A256" s="50"/>
      <x:c r="B256" s="50"/>
      <x:c r="C256" s="50"/>
      <x:c r="D256" s="50"/>
      <x:c r="E256" s="50"/>
      <x:c r="F256" s="50"/>
      <x:c r="G256" s="50"/>
      <x:c r="H256" s="50"/>
      <x:c r="I256" s="50"/>
      <x:c r="J256" s="50"/>
      <x:c r="K256" s="50"/>
      <x:c r="L256" s="50"/>
      <x:c r="M256" s="50"/>
      <x:c r="N256" s="50"/>
      <x:c r="O256" s="50"/>
      <x:c r="P256" s="50"/>
      <x:c r="Q256" s="50"/>
      <x:c r="R256" s="50"/>
      <x:c r="S256" s="50"/>
      <x:c r="T256" s="50"/>
      <x:c r="U256" s="50"/>
      <x:c r="V256" s="50"/>
      <x:c r="W256" s="50"/>
      <x:c r="X256" s="50"/>
      <x:c r="Y256" s="50"/>
      <x:c r="Z256" s="50"/>
      <x:c r="AA256" s="50"/>
      <x:c r="AB256" s="50"/>
      <x:c r="AC256" s="50"/>
      <x:c r="AD256" s="50"/>
      <x:c r="AE256" s="50"/>
      <x:c r="AF256" s="50"/>
      <x:c r="AG256" s="50"/>
      <x:c r="AH256" s="50"/>
      <x:c r="AI256" s="50"/>
      <x:c r="AJ256" s="50"/>
      <x:c r="AK256" s="50"/>
      <x:c r="AL256" s="50"/>
      <x:c r="AM256" s="50"/>
      <x:c r="AN256" s="50"/>
      <x:c r="AO256" s="50"/>
      <x:c r="AP256" s="50"/>
      <x:c r="AQ256" s="50"/>
      <x:c r="AR256" s="50"/>
      <x:c r="AS256" s="50"/>
      <x:c r="AT256" s="50"/>
      <x:c r="AU256" s="50"/>
      <x:c r="AV256" s="50"/>
    </x:row>
    <x:row r="257" ht="15.75" customHeight="1">
      <x:c r="A257" s="50"/>
      <x:c r="B257" s="50"/>
      <x:c r="C257" s="50"/>
      <x:c r="D257" s="50"/>
      <x:c r="E257" s="50"/>
      <x:c r="F257" s="50"/>
      <x:c r="G257" s="50"/>
      <x:c r="H257" s="50"/>
      <x:c r="I257" s="50"/>
      <x:c r="J257" s="50"/>
      <x:c r="K257" s="50"/>
      <x:c r="L257" s="50"/>
      <x:c r="M257" s="50"/>
      <x:c r="N257" s="50"/>
      <x:c r="O257" s="50"/>
      <x:c r="P257" s="50"/>
      <x:c r="Q257" s="50"/>
      <x:c r="R257" s="50"/>
      <x:c r="S257" s="50"/>
      <x:c r="T257" s="50"/>
      <x:c r="U257" s="50"/>
      <x:c r="V257" s="50"/>
      <x:c r="W257" s="50"/>
      <x:c r="X257" s="50"/>
      <x:c r="Y257" s="50"/>
      <x:c r="Z257" s="50"/>
      <x:c r="AA257" s="50"/>
      <x:c r="AB257" s="50"/>
      <x:c r="AC257" s="50"/>
      <x:c r="AD257" s="50"/>
      <x:c r="AE257" s="50"/>
      <x:c r="AF257" s="50"/>
      <x:c r="AG257" s="50"/>
      <x:c r="AH257" s="50"/>
      <x:c r="AI257" s="50"/>
      <x:c r="AJ257" s="50"/>
      <x:c r="AK257" s="50"/>
      <x:c r="AL257" s="50"/>
      <x:c r="AM257" s="50"/>
      <x:c r="AN257" s="50"/>
      <x:c r="AO257" s="50"/>
      <x:c r="AP257" s="50"/>
      <x:c r="AQ257" s="50"/>
      <x:c r="AR257" s="50"/>
      <x:c r="AS257" s="50"/>
      <x:c r="AT257" s="50"/>
      <x:c r="AU257" s="50"/>
      <x:c r="AV257" s="50"/>
    </x:row>
    <x:row r="258" ht="15.75" customHeight="1">
      <x:c r="A258" s="50"/>
      <x:c r="B258" s="50"/>
      <x:c r="C258" s="50"/>
      <x:c r="D258" s="50"/>
      <x:c r="E258" s="50"/>
      <x:c r="F258" s="50"/>
      <x:c r="G258" s="50"/>
      <x:c r="H258" s="50"/>
      <x:c r="I258" s="50"/>
      <x:c r="J258" s="50"/>
      <x:c r="K258" s="50"/>
      <x:c r="L258" s="50"/>
      <x:c r="M258" s="50"/>
      <x:c r="N258" s="50"/>
      <x:c r="O258" s="50"/>
      <x:c r="P258" s="50"/>
      <x:c r="Q258" s="50"/>
      <x:c r="R258" s="50"/>
      <x:c r="S258" s="50"/>
      <x:c r="T258" s="50"/>
      <x:c r="U258" s="50"/>
      <x:c r="V258" s="50"/>
      <x:c r="W258" s="50"/>
      <x:c r="X258" s="50"/>
      <x:c r="Y258" s="50"/>
      <x:c r="Z258" s="50"/>
      <x:c r="AA258" s="50"/>
      <x:c r="AB258" s="50"/>
      <x:c r="AC258" s="50"/>
      <x:c r="AD258" s="50"/>
      <x:c r="AE258" s="50"/>
      <x:c r="AF258" s="50"/>
      <x:c r="AG258" s="50"/>
      <x:c r="AH258" s="50"/>
      <x:c r="AI258" s="50"/>
      <x:c r="AJ258" s="50"/>
      <x:c r="AK258" s="50"/>
      <x:c r="AL258" s="50"/>
      <x:c r="AM258" s="50"/>
      <x:c r="AN258" s="50"/>
      <x:c r="AO258" s="50"/>
      <x:c r="AP258" s="50"/>
      <x:c r="AQ258" s="50"/>
      <x:c r="AR258" s="50"/>
      <x:c r="AS258" s="50"/>
      <x:c r="AT258" s="50"/>
      <x:c r="AU258" s="50"/>
      <x:c r="AV258" s="50"/>
    </x:row>
    <x:row r="259" ht="15.75" customHeight="1">
      <x:c r="A259" s="50"/>
      <x:c r="B259" s="50"/>
      <x:c r="C259" s="50"/>
      <x:c r="D259" s="50"/>
      <x:c r="E259" s="50"/>
      <x:c r="F259" s="50"/>
      <x:c r="G259" s="50"/>
      <x:c r="H259" s="50"/>
      <x:c r="I259" s="50"/>
      <x:c r="J259" s="50"/>
      <x:c r="K259" s="50"/>
      <x:c r="L259" s="50"/>
      <x:c r="M259" s="50"/>
      <x:c r="N259" s="50"/>
      <x:c r="O259" s="50"/>
      <x:c r="P259" s="50"/>
      <x:c r="Q259" s="50"/>
      <x:c r="R259" s="50"/>
      <x:c r="S259" s="50"/>
      <x:c r="T259" s="50"/>
      <x:c r="U259" s="50"/>
      <x:c r="V259" s="50"/>
      <x:c r="W259" s="50"/>
      <x:c r="X259" s="50"/>
      <x:c r="Y259" s="50"/>
      <x:c r="Z259" s="50"/>
      <x:c r="AA259" s="50"/>
      <x:c r="AB259" s="50"/>
      <x:c r="AC259" s="50"/>
      <x:c r="AD259" s="50"/>
      <x:c r="AE259" s="50"/>
      <x:c r="AF259" s="50"/>
      <x:c r="AG259" s="50"/>
      <x:c r="AH259" s="50"/>
      <x:c r="AI259" s="50"/>
      <x:c r="AJ259" s="50"/>
      <x:c r="AK259" s="50"/>
      <x:c r="AL259" s="50"/>
      <x:c r="AM259" s="50"/>
      <x:c r="AN259" s="50"/>
      <x:c r="AO259" s="50"/>
      <x:c r="AP259" s="50"/>
      <x:c r="AQ259" s="50"/>
      <x:c r="AR259" s="50"/>
      <x:c r="AS259" s="50"/>
      <x:c r="AT259" s="50"/>
      <x:c r="AU259" s="50"/>
      <x:c r="AV259" s="50"/>
    </x:row>
    <x:row r="260" ht="15.75" customHeight="1">
      <x:c r="A260" s="50"/>
      <x:c r="B260" s="50"/>
      <x:c r="C260" s="50"/>
      <x:c r="D260" s="50"/>
      <x:c r="E260" s="50"/>
      <x:c r="F260" s="50"/>
      <x:c r="G260" s="50"/>
      <x:c r="H260" s="50"/>
      <x:c r="I260" s="50"/>
      <x:c r="J260" s="50"/>
      <x:c r="K260" s="50"/>
      <x:c r="L260" s="50"/>
      <x:c r="M260" s="50"/>
      <x:c r="N260" s="50"/>
      <x:c r="O260" s="50"/>
      <x:c r="P260" s="50"/>
      <x:c r="Q260" s="50"/>
      <x:c r="R260" s="50"/>
      <x:c r="S260" s="50"/>
      <x:c r="T260" s="50"/>
      <x:c r="U260" s="50"/>
      <x:c r="V260" s="50"/>
      <x:c r="W260" s="50"/>
      <x:c r="X260" s="50"/>
      <x:c r="Y260" s="50"/>
      <x:c r="Z260" s="50"/>
      <x:c r="AA260" s="50"/>
      <x:c r="AB260" s="50"/>
      <x:c r="AC260" s="50"/>
      <x:c r="AD260" s="50"/>
      <x:c r="AE260" s="50"/>
      <x:c r="AF260" s="50"/>
      <x:c r="AG260" s="50"/>
      <x:c r="AH260" s="50"/>
      <x:c r="AI260" s="50"/>
      <x:c r="AJ260" s="50"/>
      <x:c r="AK260" s="50"/>
      <x:c r="AL260" s="50"/>
      <x:c r="AM260" s="50"/>
      <x:c r="AN260" s="50"/>
      <x:c r="AO260" s="50"/>
      <x:c r="AP260" s="50"/>
      <x:c r="AQ260" s="50"/>
      <x:c r="AR260" s="50"/>
      <x:c r="AS260" s="50"/>
      <x:c r="AT260" s="50"/>
      <x:c r="AU260" s="50"/>
      <x:c r="AV260" s="50"/>
    </x:row>
    <x:row r="261" ht="15.75" customHeight="1">
      <x:c r="A261" s="50"/>
      <x:c r="B261" s="50"/>
      <x:c r="C261" s="50"/>
      <x:c r="D261" s="50"/>
      <x:c r="E261" s="50"/>
      <x:c r="F261" s="50"/>
      <x:c r="G261" s="50"/>
      <x:c r="H261" s="50"/>
      <x:c r="I261" s="50"/>
      <x:c r="J261" s="50"/>
      <x:c r="K261" s="50"/>
      <x:c r="L261" s="50"/>
      <x:c r="M261" s="50"/>
      <x:c r="N261" s="50"/>
      <x:c r="O261" s="50"/>
      <x:c r="P261" s="50"/>
      <x:c r="Q261" s="50"/>
      <x:c r="R261" s="50"/>
      <x:c r="S261" s="50"/>
      <x:c r="T261" s="50"/>
      <x:c r="U261" s="50"/>
      <x:c r="V261" s="50"/>
      <x:c r="W261" s="50"/>
      <x:c r="X261" s="50"/>
      <x:c r="Y261" s="50"/>
      <x:c r="Z261" s="50"/>
      <x:c r="AA261" s="50"/>
      <x:c r="AB261" s="50"/>
      <x:c r="AC261" s="50"/>
      <x:c r="AD261" s="50"/>
      <x:c r="AE261" s="50"/>
      <x:c r="AF261" s="50"/>
      <x:c r="AG261" s="50"/>
      <x:c r="AH261" s="50"/>
      <x:c r="AI261" s="50"/>
      <x:c r="AJ261" s="50"/>
      <x:c r="AK261" s="50"/>
      <x:c r="AL261" s="50"/>
      <x:c r="AM261" s="50"/>
      <x:c r="AN261" s="50"/>
      <x:c r="AO261" s="50"/>
      <x:c r="AP261" s="50"/>
      <x:c r="AQ261" s="50"/>
      <x:c r="AR261" s="50"/>
      <x:c r="AS261" s="50"/>
      <x:c r="AT261" s="50"/>
      <x:c r="AU261" s="50"/>
      <x:c r="AV261" s="50"/>
    </x:row>
    <x:row r="262" ht="15.75" customHeight="1">
      <x:c r="A262" s="50"/>
      <x:c r="B262" s="50"/>
      <x:c r="C262" s="50"/>
      <x:c r="D262" s="50"/>
      <x:c r="E262" s="50"/>
      <x:c r="F262" s="50"/>
      <x:c r="G262" s="50"/>
      <x:c r="H262" s="50"/>
      <x:c r="I262" s="50"/>
      <x:c r="J262" s="50"/>
      <x:c r="K262" s="50"/>
      <x:c r="L262" s="50"/>
      <x:c r="M262" s="50"/>
      <x:c r="N262" s="50"/>
      <x:c r="O262" s="50"/>
      <x:c r="P262" s="50"/>
      <x:c r="Q262" s="50"/>
      <x:c r="R262" s="50"/>
      <x:c r="S262" s="50"/>
      <x:c r="T262" s="50"/>
      <x:c r="U262" s="50"/>
      <x:c r="V262" s="50"/>
      <x:c r="W262" s="50"/>
      <x:c r="X262" s="50"/>
      <x:c r="Y262" s="50"/>
      <x:c r="Z262" s="50"/>
      <x:c r="AA262" s="50"/>
      <x:c r="AB262" s="50"/>
      <x:c r="AC262" s="50"/>
      <x:c r="AD262" s="50"/>
      <x:c r="AE262" s="50"/>
      <x:c r="AF262" s="50"/>
      <x:c r="AG262" s="50"/>
      <x:c r="AH262" s="50"/>
      <x:c r="AI262" s="50"/>
      <x:c r="AJ262" s="50"/>
      <x:c r="AK262" s="50"/>
      <x:c r="AL262" s="50"/>
      <x:c r="AM262" s="50"/>
      <x:c r="AN262" s="50"/>
      <x:c r="AO262" s="50"/>
      <x:c r="AP262" s="50"/>
      <x:c r="AQ262" s="50"/>
      <x:c r="AR262" s="50"/>
      <x:c r="AS262" s="50"/>
      <x:c r="AT262" s="50"/>
      <x:c r="AU262" s="50"/>
      <x:c r="AV262" s="50"/>
    </x:row>
    <x:row r="263" ht="15.75" customHeight="1">
      <x:c r="A263" s="50"/>
      <x:c r="B263" s="50"/>
      <x:c r="C263" s="50"/>
      <x:c r="D263" s="50"/>
      <x:c r="E263" s="50"/>
      <x:c r="F263" s="50"/>
      <x:c r="G263" s="50"/>
      <x:c r="H263" s="50"/>
      <x:c r="I263" s="50"/>
      <x:c r="J263" s="50"/>
      <x:c r="K263" s="50"/>
      <x:c r="L263" s="50"/>
      <x:c r="M263" s="50"/>
      <x:c r="N263" s="50"/>
      <x:c r="O263" s="50"/>
      <x:c r="P263" s="50"/>
      <x:c r="Q263" s="50"/>
      <x:c r="R263" s="50"/>
      <x:c r="S263" s="50"/>
      <x:c r="T263" s="50"/>
      <x:c r="U263" s="50"/>
      <x:c r="V263" s="50"/>
      <x:c r="W263" s="50"/>
      <x:c r="X263" s="50"/>
      <x:c r="Y263" s="50"/>
      <x:c r="Z263" s="50"/>
      <x:c r="AA263" s="50"/>
      <x:c r="AB263" s="50"/>
      <x:c r="AC263" s="50"/>
      <x:c r="AD263" s="50"/>
      <x:c r="AE263" s="50"/>
      <x:c r="AF263" s="50"/>
      <x:c r="AG263" s="50"/>
      <x:c r="AH263" s="50"/>
      <x:c r="AI263" s="50"/>
      <x:c r="AJ263" s="50"/>
      <x:c r="AK263" s="50"/>
      <x:c r="AL263" s="50"/>
      <x:c r="AM263" s="50"/>
      <x:c r="AN263" s="50"/>
      <x:c r="AO263" s="50"/>
      <x:c r="AP263" s="50"/>
      <x:c r="AQ263" s="50"/>
      <x:c r="AR263" s="50"/>
      <x:c r="AS263" s="50"/>
      <x:c r="AT263" s="50"/>
      <x:c r="AU263" s="50"/>
      <x:c r="AV263" s="50"/>
    </x:row>
    <x:row r="264" ht="15.75" customHeight="1">
      <x:c r="A264" s="50"/>
      <x:c r="B264" s="50"/>
      <x:c r="C264" s="50"/>
      <x:c r="D264" s="50"/>
      <x:c r="E264" s="50"/>
      <x:c r="F264" s="50"/>
      <x:c r="G264" s="50"/>
      <x:c r="H264" s="50"/>
      <x:c r="I264" s="50"/>
      <x:c r="J264" s="50"/>
      <x:c r="K264" s="50"/>
      <x:c r="L264" s="50"/>
      <x:c r="M264" s="50"/>
      <x:c r="N264" s="50"/>
      <x:c r="O264" s="50"/>
      <x:c r="P264" s="50"/>
      <x:c r="Q264" s="50"/>
      <x:c r="R264" s="50"/>
      <x:c r="S264" s="50"/>
      <x:c r="T264" s="50"/>
      <x:c r="U264" s="50"/>
      <x:c r="V264" s="50"/>
      <x:c r="W264" s="50"/>
      <x:c r="X264" s="50"/>
      <x:c r="Y264" s="50"/>
      <x:c r="Z264" s="50"/>
      <x:c r="AA264" s="50"/>
      <x:c r="AB264" s="50"/>
      <x:c r="AC264" s="50"/>
      <x:c r="AD264" s="50"/>
      <x:c r="AE264" s="50"/>
      <x:c r="AF264" s="50"/>
      <x:c r="AG264" s="50"/>
      <x:c r="AH264" s="50"/>
      <x:c r="AI264" s="50"/>
      <x:c r="AJ264" s="50"/>
      <x:c r="AK264" s="50"/>
      <x:c r="AL264" s="50"/>
      <x:c r="AM264" s="50"/>
      <x:c r="AN264" s="50"/>
      <x:c r="AO264" s="50"/>
      <x:c r="AP264" s="50"/>
      <x:c r="AQ264" s="50"/>
      <x:c r="AR264" s="50"/>
      <x:c r="AS264" s="50"/>
      <x:c r="AT264" s="50"/>
      <x:c r="AU264" s="50"/>
      <x:c r="AV264" s="50"/>
    </x:row>
    <x:row r="265" ht="15.75" customHeight="1">
      <x:c r="A265" s="50"/>
      <x:c r="B265" s="50"/>
      <x:c r="C265" s="50"/>
      <x:c r="D265" s="50"/>
      <x:c r="E265" s="50"/>
      <x:c r="F265" s="50"/>
      <x:c r="G265" s="50"/>
      <x:c r="H265" s="50"/>
      <x:c r="I265" s="50"/>
      <x:c r="J265" s="50"/>
      <x:c r="K265" s="50"/>
      <x:c r="L265" s="50"/>
      <x:c r="M265" s="50"/>
      <x:c r="N265" s="50"/>
      <x:c r="O265" s="50"/>
      <x:c r="P265" s="50"/>
      <x:c r="Q265" s="50"/>
      <x:c r="R265" s="50"/>
      <x:c r="S265" s="50"/>
      <x:c r="T265" s="50"/>
      <x:c r="U265" s="50"/>
      <x:c r="V265" s="50"/>
      <x:c r="W265" s="50"/>
      <x:c r="X265" s="50"/>
      <x:c r="Y265" s="50"/>
      <x:c r="Z265" s="50"/>
      <x:c r="AA265" s="50"/>
      <x:c r="AB265" s="50"/>
      <x:c r="AC265" s="50"/>
      <x:c r="AD265" s="50"/>
      <x:c r="AE265" s="50"/>
      <x:c r="AF265" s="50"/>
      <x:c r="AG265" s="50"/>
      <x:c r="AH265" s="50"/>
      <x:c r="AI265" s="50"/>
      <x:c r="AJ265" s="50"/>
      <x:c r="AK265" s="50"/>
      <x:c r="AL265" s="50"/>
      <x:c r="AM265" s="50"/>
      <x:c r="AN265" s="50"/>
      <x:c r="AO265" s="50"/>
      <x:c r="AP265" s="50"/>
      <x:c r="AQ265" s="50"/>
      <x:c r="AR265" s="50"/>
      <x:c r="AS265" s="50"/>
      <x:c r="AT265" s="50"/>
      <x:c r="AU265" s="50"/>
      <x:c r="AV265" s="50"/>
    </x:row>
    <x:row r="266" ht="15.75" customHeight="1">
      <x:c r="A266" s="50"/>
      <x:c r="B266" s="50"/>
      <x:c r="C266" s="50"/>
      <x:c r="D266" s="50"/>
      <x:c r="E266" s="50"/>
      <x:c r="F266" s="50"/>
      <x:c r="G266" s="50"/>
      <x:c r="H266" s="50"/>
      <x:c r="I266" s="50"/>
      <x:c r="J266" s="50"/>
      <x:c r="K266" s="50"/>
      <x:c r="L266" s="50"/>
      <x:c r="M266" s="50"/>
      <x:c r="N266" s="50"/>
      <x:c r="O266" s="50"/>
      <x:c r="P266" s="50"/>
      <x:c r="Q266" s="50"/>
      <x:c r="R266" s="50"/>
      <x:c r="S266" s="50"/>
      <x:c r="T266" s="50"/>
      <x:c r="U266" s="50"/>
      <x:c r="V266" s="50"/>
      <x:c r="W266" s="50"/>
      <x:c r="X266" s="50"/>
      <x:c r="Y266" s="50"/>
      <x:c r="Z266" s="50"/>
      <x:c r="AA266" s="50"/>
      <x:c r="AB266" s="50"/>
      <x:c r="AC266" s="50"/>
      <x:c r="AD266" s="50"/>
      <x:c r="AE266" s="50"/>
      <x:c r="AF266" s="50"/>
      <x:c r="AG266" s="50"/>
      <x:c r="AH266" s="50"/>
      <x:c r="AI266" s="50"/>
      <x:c r="AJ266" s="50"/>
      <x:c r="AK266" s="50"/>
      <x:c r="AL266" s="50"/>
      <x:c r="AM266" s="50"/>
      <x:c r="AN266" s="50"/>
      <x:c r="AO266" s="50"/>
      <x:c r="AP266" s="50"/>
      <x:c r="AQ266" s="50"/>
      <x:c r="AR266" s="50"/>
      <x:c r="AS266" s="50"/>
      <x:c r="AT266" s="50"/>
      <x:c r="AU266" s="50"/>
      <x:c r="AV266" s="50"/>
    </x:row>
    <x:row r="267" ht="15.75" customHeight="1">
      <x:c r="A267" s="50"/>
      <x:c r="B267" s="50"/>
      <x:c r="C267" s="50"/>
      <x:c r="D267" s="50"/>
      <x:c r="E267" s="50"/>
      <x:c r="F267" s="50"/>
      <x:c r="G267" s="50"/>
      <x:c r="H267" s="50"/>
      <x:c r="I267" s="50"/>
      <x:c r="J267" s="50"/>
      <x:c r="K267" s="50"/>
      <x:c r="L267" s="50"/>
      <x:c r="M267" s="50"/>
      <x:c r="N267" s="50"/>
      <x:c r="O267" s="50"/>
      <x:c r="P267" s="50"/>
      <x:c r="Q267" s="50"/>
      <x:c r="R267" s="50"/>
      <x:c r="S267" s="50"/>
      <x:c r="T267" s="50"/>
      <x:c r="U267" s="50"/>
      <x:c r="V267" s="50"/>
      <x:c r="W267" s="50"/>
      <x:c r="X267" s="50"/>
      <x:c r="Y267" s="50"/>
      <x:c r="Z267" s="50"/>
      <x:c r="AA267" s="50"/>
      <x:c r="AB267" s="50"/>
      <x:c r="AC267" s="50"/>
      <x:c r="AD267" s="50"/>
      <x:c r="AE267" s="50"/>
      <x:c r="AF267" s="50"/>
      <x:c r="AG267" s="50"/>
      <x:c r="AH267" s="50"/>
      <x:c r="AI267" s="50"/>
      <x:c r="AJ267" s="50"/>
      <x:c r="AK267" s="50"/>
      <x:c r="AL267" s="50"/>
      <x:c r="AM267" s="50"/>
      <x:c r="AN267" s="50"/>
      <x:c r="AO267" s="50"/>
      <x:c r="AP267" s="50"/>
      <x:c r="AQ267" s="50"/>
      <x:c r="AR267" s="50"/>
      <x:c r="AS267" s="50"/>
      <x:c r="AT267" s="50"/>
      <x:c r="AU267" s="50"/>
      <x:c r="AV267" s="50"/>
    </x:row>
    <x:row r="268" ht="15.75" customHeight="1">
      <x:c r="A268" s="50"/>
      <x:c r="B268" s="50"/>
      <x:c r="C268" s="50"/>
      <x:c r="D268" s="50"/>
      <x:c r="E268" s="50"/>
      <x:c r="F268" s="50"/>
      <x:c r="G268" s="50"/>
      <x:c r="H268" s="50"/>
      <x:c r="I268" s="50"/>
      <x:c r="J268" s="50"/>
      <x:c r="K268" s="50"/>
      <x:c r="L268" s="50"/>
      <x:c r="M268" s="50"/>
      <x:c r="N268" s="50"/>
      <x:c r="O268" s="50"/>
      <x:c r="P268" s="50"/>
      <x:c r="Q268" s="50"/>
      <x:c r="R268" s="50"/>
      <x:c r="S268" s="50"/>
      <x:c r="T268" s="50"/>
      <x:c r="U268" s="50"/>
      <x:c r="V268" s="50"/>
      <x:c r="W268" s="50"/>
      <x:c r="X268" s="50"/>
      <x:c r="Y268" s="50"/>
      <x:c r="Z268" s="50"/>
      <x:c r="AA268" s="50"/>
      <x:c r="AB268" s="50"/>
      <x:c r="AC268" s="50"/>
      <x:c r="AD268" s="50"/>
      <x:c r="AE268" s="50"/>
      <x:c r="AF268" s="50"/>
      <x:c r="AG268" s="50"/>
      <x:c r="AH268" s="50"/>
      <x:c r="AI268" s="50"/>
      <x:c r="AJ268" s="50"/>
      <x:c r="AK268" s="50"/>
      <x:c r="AL268" s="50"/>
      <x:c r="AM268" s="50"/>
      <x:c r="AN268" s="50"/>
      <x:c r="AO268" s="50"/>
      <x:c r="AP268" s="50"/>
      <x:c r="AQ268" s="50"/>
      <x:c r="AR268" s="50"/>
      <x:c r="AS268" s="50"/>
      <x:c r="AT268" s="50"/>
      <x:c r="AU268" s="50"/>
      <x:c r="AV268" s="50"/>
    </x:row>
    <x:row r="269" ht="15.75" customHeight="1">
      <x:c r="A269" s="50"/>
      <x:c r="B269" s="50"/>
      <x:c r="C269" s="50"/>
      <x:c r="D269" s="50"/>
      <x:c r="E269" s="50"/>
      <x:c r="F269" s="50"/>
      <x:c r="G269" s="50"/>
      <x:c r="H269" s="50"/>
      <x:c r="I269" s="50"/>
      <x:c r="J269" s="50"/>
      <x:c r="K269" s="50"/>
      <x:c r="L269" s="50"/>
      <x:c r="M269" s="50"/>
      <x:c r="N269" s="50"/>
      <x:c r="O269" s="50"/>
      <x:c r="P269" s="50"/>
      <x:c r="Q269" s="50"/>
      <x:c r="R269" s="50"/>
      <x:c r="S269" s="50"/>
      <x:c r="T269" s="50"/>
      <x:c r="U269" s="50"/>
      <x:c r="V269" s="50"/>
      <x:c r="W269" s="50"/>
      <x:c r="X269" s="50"/>
      <x:c r="Y269" s="50"/>
      <x:c r="Z269" s="50"/>
      <x:c r="AA269" s="50"/>
      <x:c r="AB269" s="50"/>
      <x:c r="AC269" s="50"/>
      <x:c r="AD269" s="50"/>
      <x:c r="AE269" s="50"/>
      <x:c r="AF269" s="50"/>
      <x:c r="AG269" s="50"/>
      <x:c r="AH269" s="50"/>
      <x:c r="AI269" s="50"/>
      <x:c r="AJ269" s="50"/>
      <x:c r="AK269" s="50"/>
      <x:c r="AL269" s="50"/>
      <x:c r="AM269" s="50"/>
      <x:c r="AN269" s="50"/>
      <x:c r="AO269" s="50"/>
      <x:c r="AP269" s="50"/>
      <x:c r="AQ269" s="50"/>
      <x:c r="AR269" s="50"/>
      <x:c r="AS269" s="50"/>
      <x:c r="AT269" s="50"/>
      <x:c r="AU269" s="50"/>
      <x:c r="AV269" s="50"/>
    </x:row>
    <x:row r="270" ht="15.75" customHeight="1">
      <x:c r="A270" s="50"/>
      <x:c r="B270" s="50"/>
      <x:c r="C270" s="50"/>
      <x:c r="D270" s="50"/>
      <x:c r="E270" s="50"/>
      <x:c r="F270" s="50"/>
      <x:c r="G270" s="50"/>
      <x:c r="H270" s="50"/>
      <x:c r="I270" s="50"/>
      <x:c r="J270" s="50"/>
      <x:c r="K270" s="50"/>
      <x:c r="L270" s="50"/>
      <x:c r="M270" s="50"/>
      <x:c r="N270" s="50"/>
      <x:c r="O270" s="50"/>
      <x:c r="P270" s="50"/>
      <x:c r="Q270" s="50"/>
      <x:c r="R270" s="50"/>
      <x:c r="S270" s="50"/>
      <x:c r="T270" s="50"/>
      <x:c r="U270" s="50"/>
      <x:c r="V270" s="50"/>
      <x:c r="W270" s="50"/>
      <x:c r="X270" s="50"/>
      <x:c r="Y270" s="50"/>
      <x:c r="Z270" s="50"/>
      <x:c r="AA270" s="50"/>
      <x:c r="AB270" s="50"/>
      <x:c r="AC270" s="50"/>
      <x:c r="AD270" s="50"/>
      <x:c r="AE270" s="50"/>
      <x:c r="AF270" s="50"/>
      <x:c r="AG270" s="50"/>
      <x:c r="AH270" s="50"/>
      <x:c r="AI270" s="50"/>
      <x:c r="AJ270" s="50"/>
      <x:c r="AK270" s="50"/>
      <x:c r="AL270" s="50"/>
      <x:c r="AM270" s="50"/>
      <x:c r="AN270" s="50"/>
      <x:c r="AO270" s="50"/>
      <x:c r="AP270" s="50"/>
      <x:c r="AQ270" s="50"/>
      <x:c r="AR270" s="50"/>
      <x:c r="AS270" s="50"/>
      <x:c r="AT270" s="50"/>
      <x:c r="AU270" s="50"/>
      <x:c r="AV270" s="50"/>
    </x:row>
    <x:row r="271" ht="15.75" customHeight="1">
      <x:c r="A271" s="50"/>
      <x:c r="B271" s="50"/>
      <x:c r="C271" s="50"/>
      <x:c r="D271" s="50"/>
      <x:c r="E271" s="50"/>
      <x:c r="F271" s="50"/>
      <x:c r="G271" s="50"/>
      <x:c r="H271" s="50"/>
      <x:c r="I271" s="50"/>
      <x:c r="J271" s="50"/>
      <x:c r="K271" s="50"/>
      <x:c r="L271" s="50"/>
      <x:c r="M271" s="50"/>
      <x:c r="N271" s="50"/>
      <x:c r="O271" s="50"/>
      <x:c r="P271" s="50"/>
      <x:c r="Q271" s="50"/>
      <x:c r="R271" s="50"/>
      <x:c r="S271" s="50"/>
      <x:c r="T271" s="50"/>
      <x:c r="U271" s="50"/>
      <x:c r="V271" s="50"/>
      <x:c r="W271" s="50"/>
      <x:c r="X271" s="50"/>
      <x:c r="Y271" s="50"/>
      <x:c r="Z271" s="50"/>
      <x:c r="AA271" s="50"/>
      <x:c r="AB271" s="50"/>
      <x:c r="AC271" s="50"/>
      <x:c r="AD271" s="50"/>
      <x:c r="AE271" s="50"/>
      <x:c r="AF271" s="50"/>
      <x:c r="AG271" s="50"/>
      <x:c r="AH271" s="50"/>
      <x:c r="AI271" s="50"/>
      <x:c r="AJ271" s="50"/>
      <x:c r="AK271" s="50"/>
      <x:c r="AL271" s="50"/>
      <x:c r="AM271" s="50"/>
      <x:c r="AN271" s="50"/>
      <x:c r="AO271" s="50"/>
      <x:c r="AP271" s="50"/>
      <x:c r="AQ271" s="50"/>
      <x:c r="AR271" s="50"/>
      <x:c r="AS271" s="50"/>
      <x:c r="AT271" s="50"/>
      <x:c r="AU271" s="50"/>
      <x:c r="AV271" s="50"/>
    </x:row>
    <x:row r="272" ht="15.75" customHeight="1">
      <x:c r="A272" s="50"/>
      <x:c r="B272" s="50"/>
      <x:c r="C272" s="50"/>
      <x:c r="D272" s="50"/>
      <x:c r="E272" s="50"/>
      <x:c r="F272" s="50"/>
      <x:c r="G272" s="50"/>
      <x:c r="H272" s="50"/>
      <x:c r="I272" s="50"/>
      <x:c r="J272" s="50"/>
      <x:c r="K272" s="50"/>
      <x:c r="L272" s="50"/>
      <x:c r="M272" s="50"/>
      <x:c r="N272" s="50"/>
      <x:c r="O272" s="50"/>
      <x:c r="P272" s="50"/>
      <x:c r="Q272" s="50"/>
      <x:c r="R272" s="50"/>
      <x:c r="S272" s="50"/>
      <x:c r="T272" s="50"/>
      <x:c r="U272" s="50"/>
      <x:c r="V272" s="50"/>
      <x:c r="W272" s="50"/>
      <x:c r="X272" s="50"/>
      <x:c r="Y272" s="50"/>
      <x:c r="Z272" s="50"/>
      <x:c r="AA272" s="50"/>
      <x:c r="AB272" s="50"/>
      <x:c r="AC272" s="50"/>
      <x:c r="AD272" s="50"/>
      <x:c r="AE272" s="50"/>
      <x:c r="AF272" s="50"/>
      <x:c r="AG272" s="50"/>
      <x:c r="AH272" s="50"/>
      <x:c r="AI272" s="50"/>
      <x:c r="AJ272" s="50"/>
      <x:c r="AK272" s="50"/>
      <x:c r="AL272" s="50"/>
      <x:c r="AM272" s="50"/>
      <x:c r="AN272" s="50"/>
      <x:c r="AO272" s="50"/>
      <x:c r="AP272" s="50"/>
      <x:c r="AQ272" s="50"/>
      <x:c r="AR272" s="50"/>
      <x:c r="AS272" s="50"/>
      <x:c r="AT272" s="50"/>
      <x:c r="AU272" s="50"/>
      <x:c r="AV272" s="50"/>
    </x:row>
    <x:row r="273" ht="15.75" customHeight="1">
      <x:c r="A273" s="50"/>
      <x:c r="B273" s="50"/>
      <x:c r="C273" s="50"/>
      <x:c r="D273" s="50"/>
      <x:c r="E273" s="50"/>
      <x:c r="F273" s="50"/>
      <x:c r="G273" s="50"/>
      <x:c r="H273" s="50"/>
      <x:c r="I273" s="50"/>
      <x:c r="J273" s="50"/>
      <x:c r="K273" s="50"/>
      <x:c r="L273" s="50"/>
      <x:c r="M273" s="50"/>
      <x:c r="N273" s="50"/>
      <x:c r="O273" s="50"/>
      <x:c r="P273" s="50"/>
      <x:c r="Q273" s="50"/>
      <x:c r="R273" s="50"/>
      <x:c r="S273" s="50"/>
      <x:c r="T273" s="50"/>
      <x:c r="U273" s="50"/>
      <x:c r="V273" s="50"/>
      <x:c r="W273" s="50"/>
      <x:c r="X273" s="50"/>
      <x:c r="Y273" s="50"/>
      <x:c r="Z273" s="50"/>
      <x:c r="AA273" s="50"/>
      <x:c r="AB273" s="50"/>
      <x:c r="AC273" s="50"/>
      <x:c r="AD273" s="50"/>
      <x:c r="AE273" s="50"/>
      <x:c r="AF273" s="50"/>
      <x:c r="AG273" s="50"/>
      <x:c r="AH273" s="50"/>
      <x:c r="AI273" s="50"/>
      <x:c r="AJ273" s="50"/>
      <x:c r="AK273" s="50"/>
      <x:c r="AL273" s="50"/>
      <x:c r="AM273" s="50"/>
      <x:c r="AN273" s="50"/>
      <x:c r="AO273" s="50"/>
      <x:c r="AP273" s="50"/>
      <x:c r="AQ273" s="50"/>
      <x:c r="AR273" s="50"/>
      <x:c r="AS273" s="50"/>
      <x:c r="AT273" s="50"/>
      <x:c r="AU273" s="50"/>
      <x:c r="AV273" s="50"/>
    </x:row>
    <x:row r="274" ht="15.75" customHeight="1">
      <x:c r="A274" s="50"/>
      <x:c r="B274" s="50"/>
      <x:c r="C274" s="50"/>
      <x:c r="D274" s="50"/>
      <x:c r="E274" s="50"/>
      <x:c r="F274" s="50"/>
      <x:c r="G274" s="50"/>
      <x:c r="H274" s="50"/>
      <x:c r="I274" s="50"/>
      <x:c r="J274" s="50"/>
      <x:c r="K274" s="50"/>
      <x:c r="L274" s="50"/>
      <x:c r="M274" s="50"/>
      <x:c r="N274" s="50"/>
      <x:c r="O274" s="50"/>
      <x:c r="P274" s="50"/>
      <x:c r="Q274" s="50"/>
      <x:c r="R274" s="50"/>
      <x:c r="S274" s="50"/>
      <x:c r="T274" s="50"/>
      <x:c r="U274" s="50"/>
      <x:c r="V274" s="50"/>
      <x:c r="W274" s="50"/>
      <x:c r="X274" s="50"/>
      <x:c r="Y274" s="50"/>
      <x:c r="Z274" s="50"/>
      <x:c r="AA274" s="50"/>
      <x:c r="AB274" s="50"/>
      <x:c r="AC274" s="50"/>
      <x:c r="AD274" s="50"/>
      <x:c r="AE274" s="50"/>
      <x:c r="AF274" s="50"/>
      <x:c r="AG274" s="50"/>
      <x:c r="AH274" s="50"/>
      <x:c r="AI274" s="50"/>
      <x:c r="AJ274" s="50"/>
      <x:c r="AK274" s="50"/>
      <x:c r="AL274" s="50"/>
      <x:c r="AM274" s="50"/>
      <x:c r="AN274" s="50"/>
      <x:c r="AO274" s="50"/>
      <x:c r="AP274" s="50"/>
      <x:c r="AQ274" s="50"/>
      <x:c r="AR274" s="50"/>
      <x:c r="AS274" s="50"/>
      <x:c r="AT274" s="50"/>
      <x:c r="AU274" s="50"/>
      <x:c r="AV274" s="50"/>
    </x:row>
    <x:row r="275" ht="15.75" customHeight="1">
      <x:c r="A275" s="50"/>
      <x:c r="B275" s="50"/>
      <x:c r="C275" s="50"/>
      <x:c r="D275" s="50"/>
      <x:c r="E275" s="50"/>
      <x:c r="F275" s="50"/>
      <x:c r="G275" s="50"/>
      <x:c r="H275" s="50"/>
      <x:c r="I275" s="50"/>
      <x:c r="J275" s="50"/>
      <x:c r="K275" s="50"/>
      <x:c r="L275" s="50"/>
      <x:c r="M275" s="50"/>
      <x:c r="N275" s="50"/>
      <x:c r="O275" s="50"/>
      <x:c r="P275" s="50"/>
      <x:c r="Q275" s="50"/>
      <x:c r="R275" s="50"/>
      <x:c r="S275" s="50"/>
      <x:c r="T275" s="50"/>
      <x:c r="U275" s="50"/>
      <x:c r="V275" s="50"/>
      <x:c r="W275" s="50"/>
      <x:c r="X275" s="50"/>
      <x:c r="Y275" s="50"/>
      <x:c r="Z275" s="50"/>
      <x:c r="AA275" s="50"/>
      <x:c r="AB275" s="50"/>
      <x:c r="AC275" s="50"/>
      <x:c r="AD275" s="50"/>
      <x:c r="AE275" s="50"/>
      <x:c r="AF275" s="50"/>
      <x:c r="AG275" s="50"/>
      <x:c r="AH275" s="50"/>
      <x:c r="AI275" s="50"/>
      <x:c r="AJ275" s="50"/>
      <x:c r="AK275" s="50"/>
      <x:c r="AL275" s="50"/>
      <x:c r="AM275" s="50"/>
      <x:c r="AN275" s="50"/>
      <x:c r="AO275" s="50"/>
      <x:c r="AP275" s="50"/>
      <x:c r="AQ275" s="50"/>
      <x:c r="AR275" s="50"/>
      <x:c r="AS275" s="50"/>
      <x:c r="AT275" s="50"/>
      <x:c r="AU275" s="50"/>
      <x:c r="AV275" s="50"/>
    </x:row>
    <x:row r="276" ht="15.75" customHeight="1">
      <x:c r="A276" s="50"/>
      <x:c r="B276" s="50"/>
      <x:c r="C276" s="50"/>
      <x:c r="D276" s="50"/>
      <x:c r="E276" s="50"/>
      <x:c r="F276" s="50"/>
      <x:c r="G276" s="50"/>
      <x:c r="H276" s="50"/>
      <x:c r="I276" s="50"/>
      <x:c r="J276" s="50"/>
      <x:c r="K276" s="50"/>
      <x:c r="L276" s="50"/>
      <x:c r="M276" s="50"/>
      <x:c r="N276" s="50"/>
      <x:c r="O276" s="50"/>
      <x:c r="P276" s="50"/>
      <x:c r="Q276" s="50"/>
      <x:c r="R276" s="50"/>
      <x:c r="S276" s="50"/>
      <x:c r="T276" s="50"/>
      <x:c r="U276" s="50"/>
      <x:c r="V276" s="50"/>
      <x:c r="W276" s="50"/>
      <x:c r="X276" s="50"/>
      <x:c r="Y276" s="50"/>
      <x:c r="Z276" s="50"/>
      <x:c r="AA276" s="50"/>
      <x:c r="AB276" s="50"/>
      <x:c r="AC276" s="50"/>
      <x:c r="AD276" s="50"/>
      <x:c r="AE276" s="50"/>
      <x:c r="AF276" s="50"/>
      <x:c r="AG276" s="50"/>
      <x:c r="AH276" s="50"/>
      <x:c r="AI276" s="50"/>
      <x:c r="AJ276" s="50"/>
      <x:c r="AK276" s="50"/>
      <x:c r="AL276" s="50"/>
      <x:c r="AM276" s="50"/>
      <x:c r="AN276" s="50"/>
      <x:c r="AO276" s="50"/>
      <x:c r="AP276" s="50"/>
      <x:c r="AQ276" s="50"/>
      <x:c r="AR276" s="50"/>
      <x:c r="AS276" s="50"/>
      <x:c r="AT276" s="50"/>
      <x:c r="AU276" s="50"/>
      <x:c r="AV276" s="50"/>
    </x:row>
    <x:row r="277" ht="15.75" customHeight="1">
      <x:c r="A277" s="50"/>
      <x:c r="B277" s="50"/>
      <x:c r="C277" s="50"/>
      <x:c r="D277" s="50"/>
      <x:c r="E277" s="50"/>
      <x:c r="F277" s="50"/>
      <x:c r="G277" s="50"/>
      <x:c r="H277" s="50"/>
      <x:c r="I277" s="50"/>
      <x:c r="J277" s="50"/>
      <x:c r="K277" s="50"/>
      <x:c r="L277" s="50"/>
      <x:c r="M277" s="50"/>
      <x:c r="N277" s="50"/>
      <x:c r="O277" s="50"/>
      <x:c r="P277" s="50"/>
      <x:c r="Q277" s="50"/>
      <x:c r="R277" s="50"/>
      <x:c r="S277" s="50"/>
      <x:c r="T277" s="50"/>
      <x:c r="U277" s="50"/>
      <x:c r="V277" s="50"/>
      <x:c r="W277" s="50"/>
      <x:c r="X277" s="50"/>
      <x:c r="Y277" s="50"/>
      <x:c r="Z277" s="50"/>
      <x:c r="AA277" s="50"/>
      <x:c r="AB277" s="50"/>
      <x:c r="AC277" s="50"/>
      <x:c r="AD277" s="50"/>
      <x:c r="AE277" s="50"/>
      <x:c r="AF277" s="50"/>
      <x:c r="AG277" s="50"/>
      <x:c r="AH277" s="50"/>
      <x:c r="AI277" s="50"/>
      <x:c r="AJ277" s="50"/>
      <x:c r="AK277" s="50"/>
      <x:c r="AL277" s="50"/>
      <x:c r="AM277" s="50"/>
      <x:c r="AN277" s="50"/>
      <x:c r="AO277" s="50"/>
      <x:c r="AP277" s="50"/>
      <x:c r="AQ277" s="50"/>
      <x:c r="AR277" s="50"/>
      <x:c r="AS277" s="50"/>
      <x:c r="AT277" s="50"/>
      <x:c r="AU277" s="50"/>
      <x:c r="AV277" s="50"/>
    </x:row>
    <x:row r="278" ht="15.75" customHeight="1">
      <x:c r="A278" s="50"/>
      <x:c r="B278" s="50"/>
      <x:c r="C278" s="50"/>
      <x:c r="D278" s="50"/>
      <x:c r="E278" s="50"/>
      <x:c r="F278" s="50"/>
      <x:c r="G278" s="50"/>
      <x:c r="H278" s="50"/>
      <x:c r="I278" s="50"/>
      <x:c r="J278" s="50"/>
      <x:c r="K278" s="50"/>
      <x:c r="L278" s="50"/>
      <x:c r="M278" s="50"/>
      <x:c r="N278" s="50"/>
      <x:c r="O278" s="50"/>
      <x:c r="P278" s="50"/>
      <x:c r="Q278" s="50"/>
      <x:c r="R278" s="50"/>
      <x:c r="S278" s="50"/>
      <x:c r="T278" s="50"/>
      <x:c r="U278" s="50"/>
      <x:c r="V278" s="50"/>
      <x:c r="W278" s="50"/>
      <x:c r="X278" s="50"/>
      <x:c r="Y278" s="50"/>
      <x:c r="Z278" s="50"/>
      <x:c r="AA278" s="50"/>
      <x:c r="AB278" s="50"/>
      <x:c r="AC278" s="50"/>
      <x:c r="AD278" s="50"/>
      <x:c r="AE278" s="50"/>
      <x:c r="AF278" s="50"/>
      <x:c r="AG278" s="50"/>
      <x:c r="AH278" s="50"/>
      <x:c r="AI278" s="50"/>
      <x:c r="AJ278" s="50"/>
      <x:c r="AK278" s="50"/>
      <x:c r="AL278" s="50"/>
      <x:c r="AM278" s="50"/>
      <x:c r="AN278" s="50"/>
      <x:c r="AO278" s="50"/>
      <x:c r="AP278" s="50"/>
      <x:c r="AQ278" s="50"/>
      <x:c r="AR278" s="50"/>
      <x:c r="AS278" s="50"/>
      <x:c r="AT278" s="50"/>
      <x:c r="AU278" s="50"/>
      <x:c r="AV278" s="50"/>
    </x:row>
    <x:row r="279" ht="15.75" customHeight="1">
      <x:c r="A279" s="50"/>
      <x:c r="B279" s="50"/>
      <x:c r="C279" s="50"/>
      <x:c r="D279" s="50"/>
      <x:c r="E279" s="50"/>
      <x:c r="F279" s="50"/>
      <x:c r="G279" s="50"/>
      <x:c r="H279" s="50"/>
      <x:c r="I279" s="50"/>
      <x:c r="J279" s="50"/>
      <x:c r="K279" s="50"/>
      <x:c r="L279" s="50"/>
      <x:c r="M279" s="50"/>
      <x:c r="N279" s="50"/>
      <x:c r="O279" s="50"/>
      <x:c r="P279" s="50"/>
      <x:c r="Q279" s="50"/>
      <x:c r="R279" s="50"/>
      <x:c r="S279" s="50"/>
      <x:c r="T279" s="50"/>
      <x:c r="U279" s="50"/>
      <x:c r="V279" s="50"/>
      <x:c r="W279" s="50"/>
      <x:c r="X279" s="50"/>
      <x:c r="Y279" s="50"/>
      <x:c r="Z279" s="50"/>
      <x:c r="AA279" s="50"/>
      <x:c r="AB279" s="50"/>
      <x:c r="AC279" s="50"/>
      <x:c r="AD279" s="50"/>
      <x:c r="AE279" s="50"/>
      <x:c r="AF279" s="50"/>
      <x:c r="AG279" s="50"/>
      <x:c r="AH279" s="50"/>
      <x:c r="AI279" s="50"/>
      <x:c r="AJ279" s="50"/>
      <x:c r="AK279" s="50"/>
      <x:c r="AL279" s="50"/>
      <x:c r="AM279" s="50"/>
      <x:c r="AN279" s="50"/>
      <x:c r="AO279" s="50"/>
      <x:c r="AP279" s="50"/>
      <x:c r="AQ279" s="50"/>
      <x:c r="AR279" s="50"/>
      <x:c r="AS279" s="50"/>
      <x:c r="AT279" s="50"/>
      <x:c r="AU279" s="50"/>
      <x:c r="AV279" s="50"/>
    </x:row>
    <x:row r="280" ht="15.75" customHeight="1">
      <x:c r="A280" s="50"/>
      <x:c r="B280" s="50"/>
      <x:c r="C280" s="50"/>
      <x:c r="D280" s="50"/>
      <x:c r="E280" s="50"/>
      <x:c r="F280" s="50"/>
      <x:c r="G280" s="50"/>
      <x:c r="H280" s="50"/>
      <x:c r="I280" s="50"/>
      <x:c r="J280" s="50"/>
      <x:c r="K280" s="50"/>
      <x:c r="L280" s="50"/>
      <x:c r="M280" s="50"/>
      <x:c r="N280" s="50"/>
      <x:c r="O280" s="50"/>
      <x:c r="P280" s="50"/>
      <x:c r="Q280" s="50"/>
      <x:c r="R280" s="50"/>
      <x:c r="S280" s="50"/>
      <x:c r="T280" s="50"/>
      <x:c r="U280" s="50"/>
      <x:c r="V280" s="50"/>
      <x:c r="W280" s="50"/>
      <x:c r="X280" s="50"/>
      <x:c r="Y280" s="50"/>
      <x:c r="Z280" s="50"/>
      <x:c r="AA280" s="50"/>
      <x:c r="AB280" s="50"/>
      <x:c r="AC280" s="50"/>
      <x:c r="AD280" s="50"/>
      <x:c r="AE280" s="50"/>
      <x:c r="AF280" s="50"/>
      <x:c r="AG280" s="50"/>
      <x:c r="AH280" s="50"/>
      <x:c r="AI280" s="50"/>
      <x:c r="AJ280" s="50"/>
      <x:c r="AK280" s="50"/>
      <x:c r="AL280" s="50"/>
      <x:c r="AM280" s="50"/>
      <x:c r="AN280" s="50"/>
      <x:c r="AO280" s="50"/>
      <x:c r="AP280" s="50"/>
      <x:c r="AQ280" s="50"/>
      <x:c r="AR280" s="50"/>
      <x:c r="AS280" s="50"/>
      <x:c r="AT280" s="50"/>
      <x:c r="AU280" s="50"/>
      <x:c r="AV280" s="50"/>
    </x:row>
    <x:row r="281" ht="15.75" customHeight="1">
      <x:c r="A281" s="50"/>
      <x:c r="B281" s="50"/>
      <x:c r="C281" s="50"/>
      <x:c r="D281" s="50"/>
      <x:c r="E281" s="50"/>
      <x:c r="F281" s="50"/>
      <x:c r="G281" s="50"/>
      <x:c r="H281" s="50"/>
      <x:c r="I281" s="50"/>
      <x:c r="J281" s="50"/>
      <x:c r="K281" s="50"/>
      <x:c r="L281" s="50"/>
      <x:c r="M281" s="50"/>
      <x:c r="N281" s="50"/>
      <x:c r="O281" s="50"/>
      <x:c r="P281" s="50"/>
      <x:c r="Q281" s="50"/>
      <x:c r="R281" s="50"/>
      <x:c r="S281" s="50"/>
      <x:c r="T281" s="50"/>
      <x:c r="U281" s="50"/>
      <x:c r="V281" s="50"/>
      <x:c r="W281" s="50"/>
      <x:c r="X281" s="50"/>
      <x:c r="Y281" s="50"/>
      <x:c r="Z281" s="50"/>
      <x:c r="AA281" s="50"/>
      <x:c r="AB281" s="50"/>
      <x:c r="AC281" s="50"/>
      <x:c r="AD281" s="50"/>
      <x:c r="AE281" s="50"/>
      <x:c r="AF281" s="50"/>
      <x:c r="AG281" s="50"/>
      <x:c r="AH281" s="50"/>
      <x:c r="AI281" s="50"/>
      <x:c r="AJ281" s="50"/>
      <x:c r="AK281" s="50"/>
      <x:c r="AL281" s="50"/>
      <x:c r="AM281" s="50"/>
      <x:c r="AN281" s="50"/>
      <x:c r="AO281" s="50"/>
      <x:c r="AP281" s="50"/>
      <x:c r="AQ281" s="50"/>
      <x:c r="AR281" s="50"/>
      <x:c r="AS281" s="50"/>
      <x:c r="AT281" s="50"/>
      <x:c r="AU281" s="50"/>
      <x:c r="AV281" s="50"/>
    </x:row>
    <x:row r="282" ht="15.75" customHeight="1">
      <x:c r="A282" s="50"/>
      <x:c r="B282" s="50"/>
      <x:c r="C282" s="50"/>
      <x:c r="D282" s="50"/>
      <x:c r="E282" s="50"/>
      <x:c r="F282" s="50"/>
      <x:c r="G282" s="50"/>
      <x:c r="H282" s="50"/>
      <x:c r="I282" s="50"/>
      <x:c r="J282" s="50"/>
      <x:c r="K282" s="50"/>
      <x:c r="L282" s="50"/>
      <x:c r="M282" s="50"/>
      <x:c r="N282" s="50"/>
      <x:c r="O282" s="50"/>
      <x:c r="P282" s="50"/>
      <x:c r="Q282" s="50"/>
      <x:c r="R282" s="50"/>
      <x:c r="S282" s="50"/>
      <x:c r="T282" s="50"/>
      <x:c r="U282" s="50"/>
      <x:c r="V282" s="50"/>
      <x:c r="W282" s="50"/>
      <x:c r="X282" s="50"/>
      <x:c r="Y282" s="50"/>
      <x:c r="Z282" s="50"/>
      <x:c r="AA282" s="50"/>
      <x:c r="AB282" s="50"/>
      <x:c r="AC282" s="50"/>
      <x:c r="AD282" s="50"/>
      <x:c r="AE282" s="50"/>
      <x:c r="AF282" s="50"/>
      <x:c r="AG282" s="50"/>
      <x:c r="AH282" s="50"/>
      <x:c r="AI282" s="50"/>
      <x:c r="AJ282" s="50"/>
      <x:c r="AK282" s="50"/>
      <x:c r="AL282" s="50"/>
      <x:c r="AM282" s="50"/>
      <x:c r="AN282" s="50"/>
      <x:c r="AO282" s="50"/>
      <x:c r="AP282" s="50"/>
      <x:c r="AQ282" s="50"/>
      <x:c r="AR282" s="50"/>
      <x:c r="AS282" s="50"/>
      <x:c r="AT282" s="50"/>
      <x:c r="AU282" s="50"/>
      <x:c r="AV282" s="50"/>
    </x:row>
    <x:row r="283" ht="15.75" customHeight="1">
      <x:c r="A283" s="50"/>
      <x:c r="B283" s="50"/>
      <x:c r="C283" s="50"/>
      <x:c r="D283" s="50"/>
      <x:c r="E283" s="50"/>
      <x:c r="F283" s="50"/>
      <x:c r="G283" s="50"/>
      <x:c r="H283" s="50"/>
      <x:c r="I283" s="50"/>
      <x:c r="J283" s="50"/>
      <x:c r="K283" s="50"/>
      <x:c r="L283" s="50"/>
      <x:c r="M283" s="50"/>
      <x:c r="N283" s="50"/>
      <x:c r="O283" s="50"/>
      <x:c r="P283" s="50"/>
      <x:c r="Q283" s="50"/>
      <x:c r="R283" s="50"/>
      <x:c r="S283" s="50"/>
      <x:c r="T283" s="50"/>
      <x:c r="U283" s="50"/>
      <x:c r="V283" s="50"/>
      <x:c r="W283" s="50"/>
      <x:c r="X283" s="50"/>
      <x:c r="Y283" s="50"/>
      <x:c r="Z283" s="50"/>
      <x:c r="AA283" s="50"/>
      <x:c r="AB283" s="50"/>
      <x:c r="AC283" s="50"/>
      <x:c r="AD283" s="50"/>
      <x:c r="AE283" s="50"/>
      <x:c r="AF283" s="50"/>
      <x:c r="AG283" s="50"/>
      <x:c r="AH283" s="50"/>
      <x:c r="AI283" s="50"/>
      <x:c r="AJ283" s="50"/>
      <x:c r="AK283" s="50"/>
      <x:c r="AL283" s="50"/>
      <x:c r="AM283" s="50"/>
      <x:c r="AN283" s="50"/>
      <x:c r="AO283" s="50"/>
      <x:c r="AP283" s="50"/>
      <x:c r="AQ283" s="50"/>
      <x:c r="AR283" s="50"/>
      <x:c r="AS283" s="50"/>
      <x:c r="AT283" s="50"/>
      <x:c r="AU283" s="50"/>
      <x:c r="AV283" s="50"/>
    </x:row>
    <x:row r="284" ht="15.75" customHeight="1">
      <x:c r="A284" s="50"/>
      <x:c r="B284" s="50"/>
      <x:c r="C284" s="50"/>
      <x:c r="D284" s="50"/>
      <x:c r="E284" s="50"/>
      <x:c r="F284" s="50"/>
      <x:c r="G284" s="50"/>
      <x:c r="H284" s="50"/>
      <x:c r="I284" s="50"/>
      <x:c r="J284" s="50"/>
      <x:c r="K284" s="50"/>
      <x:c r="L284" s="50"/>
      <x:c r="M284" s="50"/>
      <x:c r="N284" s="50"/>
      <x:c r="O284" s="50"/>
      <x:c r="P284" s="50"/>
      <x:c r="Q284" s="50"/>
      <x:c r="R284" s="50"/>
      <x:c r="S284" s="50"/>
      <x:c r="T284" s="50"/>
      <x:c r="U284" s="50"/>
      <x:c r="V284" s="50"/>
      <x:c r="W284" s="50"/>
      <x:c r="X284" s="50"/>
      <x:c r="Y284" s="50"/>
      <x:c r="Z284" s="50"/>
      <x:c r="AA284" s="50"/>
      <x:c r="AB284" s="50"/>
      <x:c r="AC284" s="50"/>
      <x:c r="AD284" s="50"/>
      <x:c r="AE284" s="50"/>
      <x:c r="AF284" s="50"/>
      <x:c r="AG284" s="50"/>
      <x:c r="AH284" s="50"/>
      <x:c r="AI284" s="50"/>
      <x:c r="AJ284" s="50"/>
      <x:c r="AK284" s="50"/>
      <x:c r="AL284" s="50"/>
      <x:c r="AM284" s="50"/>
      <x:c r="AN284" s="50"/>
      <x:c r="AO284" s="50"/>
      <x:c r="AP284" s="50"/>
      <x:c r="AQ284" s="50"/>
      <x:c r="AR284" s="50"/>
      <x:c r="AS284" s="50"/>
      <x:c r="AT284" s="50"/>
      <x:c r="AU284" s="50"/>
      <x:c r="AV284" s="50"/>
    </x:row>
    <x:row r="285" ht="15.75" customHeight="1">
      <x:c r="A285" s="50"/>
      <x:c r="B285" s="50"/>
      <x:c r="C285" s="50"/>
      <x:c r="D285" s="50"/>
      <x:c r="E285" s="50"/>
      <x:c r="F285" s="50"/>
      <x:c r="G285" s="50"/>
      <x:c r="H285" s="50"/>
      <x:c r="I285" s="50"/>
      <x:c r="J285" s="50"/>
      <x:c r="K285" s="50"/>
      <x:c r="L285" s="50"/>
      <x:c r="M285" s="50"/>
      <x:c r="N285" s="50"/>
      <x:c r="O285" s="50"/>
      <x:c r="P285" s="50"/>
      <x:c r="Q285" s="50"/>
      <x:c r="R285" s="50"/>
      <x:c r="S285" s="50"/>
      <x:c r="T285" s="50"/>
      <x:c r="U285" s="50"/>
      <x:c r="V285" s="50"/>
      <x:c r="W285" s="50"/>
      <x:c r="X285" s="50"/>
      <x:c r="Y285" s="50"/>
      <x:c r="Z285" s="50"/>
      <x:c r="AA285" s="50"/>
      <x:c r="AB285" s="50"/>
      <x:c r="AC285" s="50"/>
      <x:c r="AD285" s="50"/>
      <x:c r="AE285" s="50"/>
      <x:c r="AF285" s="50"/>
      <x:c r="AG285" s="50"/>
      <x:c r="AH285" s="50"/>
      <x:c r="AI285" s="50"/>
      <x:c r="AJ285" s="50"/>
      <x:c r="AK285" s="50"/>
      <x:c r="AL285" s="50"/>
      <x:c r="AM285" s="50"/>
      <x:c r="AN285" s="50"/>
      <x:c r="AO285" s="50"/>
      <x:c r="AP285" s="50"/>
      <x:c r="AQ285" s="50"/>
      <x:c r="AR285" s="50"/>
      <x:c r="AS285" s="50"/>
      <x:c r="AT285" s="50"/>
      <x:c r="AU285" s="50"/>
      <x:c r="AV285" s="50"/>
    </x:row>
    <x:row r="286" ht="15.75" customHeight="1">
      <x:c r="A286" s="50"/>
      <x:c r="B286" s="50"/>
      <x:c r="C286" s="50"/>
      <x:c r="D286" s="50"/>
      <x:c r="E286" s="50"/>
      <x:c r="F286" s="50"/>
      <x:c r="G286" s="50"/>
      <x:c r="H286" s="50"/>
      <x:c r="I286" s="50"/>
      <x:c r="J286" s="50"/>
      <x:c r="K286" s="50"/>
      <x:c r="L286" s="50"/>
      <x:c r="M286" s="50"/>
      <x:c r="N286" s="50"/>
      <x:c r="O286" s="50"/>
      <x:c r="P286" s="50"/>
      <x:c r="Q286" s="50"/>
      <x:c r="R286" s="50"/>
      <x:c r="S286" s="50"/>
      <x:c r="T286" s="50"/>
      <x:c r="U286" s="50"/>
      <x:c r="V286" s="50"/>
      <x:c r="W286" s="50"/>
      <x:c r="X286" s="50"/>
      <x:c r="Y286" s="50"/>
      <x:c r="Z286" s="50"/>
      <x:c r="AA286" s="50"/>
      <x:c r="AB286" s="50"/>
      <x:c r="AC286" s="50"/>
      <x:c r="AD286" s="50"/>
      <x:c r="AE286" s="50"/>
      <x:c r="AF286" s="50"/>
      <x:c r="AG286" s="50"/>
      <x:c r="AH286" s="50"/>
      <x:c r="AI286" s="50"/>
      <x:c r="AJ286" s="50"/>
      <x:c r="AK286" s="50"/>
      <x:c r="AL286" s="50"/>
      <x:c r="AM286" s="50"/>
      <x:c r="AN286" s="50"/>
      <x:c r="AO286" s="50"/>
      <x:c r="AP286" s="50"/>
      <x:c r="AQ286" s="50"/>
      <x:c r="AR286" s="50"/>
      <x:c r="AS286" s="50"/>
      <x:c r="AT286" s="50"/>
      <x:c r="AU286" s="50"/>
      <x:c r="AV286" s="50"/>
    </x:row>
    <x:row r="287" ht="15.75" customHeight="1">
      <x:c r="A287" s="50"/>
      <x:c r="B287" s="50"/>
      <x:c r="C287" s="50"/>
      <x:c r="D287" s="50"/>
      <x:c r="E287" s="50"/>
      <x:c r="F287" s="50"/>
      <x:c r="G287" s="50"/>
      <x:c r="H287" s="50"/>
      <x:c r="I287" s="50"/>
      <x:c r="J287" s="50"/>
      <x:c r="K287" s="50"/>
      <x:c r="L287" s="50"/>
      <x:c r="M287" s="50"/>
      <x:c r="N287" s="50"/>
      <x:c r="O287" s="50"/>
      <x:c r="P287" s="50"/>
      <x:c r="Q287" s="50"/>
      <x:c r="R287" s="50"/>
      <x:c r="S287" s="50"/>
      <x:c r="T287" s="50"/>
      <x:c r="U287" s="50"/>
      <x:c r="V287" s="50"/>
      <x:c r="W287" s="50"/>
      <x:c r="X287" s="50"/>
      <x:c r="Y287" s="50"/>
      <x:c r="Z287" s="50"/>
      <x:c r="AA287" s="50"/>
      <x:c r="AB287" s="50"/>
      <x:c r="AC287" s="50"/>
      <x:c r="AD287" s="50"/>
      <x:c r="AE287" s="50"/>
      <x:c r="AF287" s="50"/>
      <x:c r="AG287" s="50"/>
      <x:c r="AH287" s="50"/>
      <x:c r="AI287" s="50"/>
      <x:c r="AJ287" s="50"/>
      <x:c r="AK287" s="50"/>
      <x:c r="AL287" s="50"/>
      <x:c r="AM287" s="50"/>
      <x:c r="AN287" s="50"/>
      <x:c r="AO287" s="50"/>
      <x:c r="AP287" s="50"/>
      <x:c r="AQ287" s="50"/>
      <x:c r="AR287" s="50"/>
      <x:c r="AS287" s="50"/>
      <x:c r="AT287" s="50"/>
      <x:c r="AU287" s="50"/>
      <x:c r="AV287" s="50"/>
    </x:row>
    <x:row r="288" ht="15.75" customHeight="1">
      <x:c r="A288" s="50"/>
      <x:c r="B288" s="50"/>
      <x:c r="C288" s="50"/>
      <x:c r="D288" s="50"/>
      <x:c r="E288" s="50"/>
      <x:c r="F288" s="50"/>
      <x:c r="G288" s="50"/>
      <x:c r="H288" s="50"/>
      <x:c r="I288" s="50"/>
      <x:c r="J288" s="50"/>
      <x:c r="K288" s="50"/>
      <x:c r="L288" s="50"/>
      <x:c r="M288" s="50"/>
      <x:c r="N288" s="50"/>
      <x:c r="O288" s="50"/>
      <x:c r="P288" s="50"/>
      <x:c r="Q288" s="50"/>
      <x:c r="R288" s="50"/>
      <x:c r="S288" s="50"/>
      <x:c r="T288" s="50"/>
      <x:c r="U288" s="50"/>
      <x:c r="V288" s="50"/>
      <x:c r="W288" s="50"/>
      <x:c r="X288" s="50"/>
      <x:c r="Y288" s="50"/>
      <x:c r="Z288" s="50"/>
      <x:c r="AA288" s="50"/>
      <x:c r="AB288" s="50"/>
      <x:c r="AC288" s="50"/>
      <x:c r="AD288" s="50"/>
      <x:c r="AE288" s="50"/>
      <x:c r="AF288" s="50"/>
      <x:c r="AG288" s="50"/>
      <x:c r="AH288" s="50"/>
      <x:c r="AI288" s="50"/>
      <x:c r="AJ288" s="50"/>
      <x:c r="AK288" s="50"/>
      <x:c r="AL288" s="50"/>
      <x:c r="AM288" s="50"/>
      <x:c r="AN288" s="50"/>
      <x:c r="AO288" s="50"/>
      <x:c r="AP288" s="50"/>
      <x:c r="AQ288" s="50"/>
      <x:c r="AR288" s="50"/>
      <x:c r="AS288" s="50"/>
      <x:c r="AT288" s="50"/>
      <x:c r="AU288" s="50"/>
      <x:c r="AV288" s="50"/>
    </x:row>
    <x:row r="289" ht="15.75" customHeight="1">
      <x:c r="A289" s="50"/>
      <x:c r="B289" s="50"/>
      <x:c r="C289" s="50"/>
      <x:c r="D289" s="50"/>
      <x:c r="E289" s="50"/>
      <x:c r="F289" s="50"/>
      <x:c r="G289" s="50"/>
      <x:c r="H289" s="50"/>
      <x:c r="I289" s="50"/>
      <x:c r="J289" s="50"/>
      <x:c r="K289" s="50"/>
      <x:c r="L289" s="50"/>
      <x:c r="M289" s="50"/>
      <x:c r="N289" s="50"/>
      <x:c r="O289" s="50"/>
      <x:c r="P289" s="50"/>
      <x:c r="Q289" s="50"/>
      <x:c r="R289" s="50"/>
      <x:c r="S289" s="50"/>
      <x:c r="T289" s="50"/>
      <x:c r="U289" s="50"/>
      <x:c r="V289" s="50"/>
      <x:c r="W289" s="50"/>
      <x:c r="X289" s="50"/>
      <x:c r="Y289" s="50"/>
      <x:c r="Z289" s="50"/>
      <x:c r="AA289" s="50"/>
      <x:c r="AB289" s="50"/>
      <x:c r="AC289" s="50"/>
      <x:c r="AD289" s="50"/>
      <x:c r="AE289" s="50"/>
      <x:c r="AF289" s="50"/>
      <x:c r="AG289" s="50"/>
      <x:c r="AH289" s="50"/>
      <x:c r="AI289" s="50"/>
      <x:c r="AJ289" s="50"/>
      <x:c r="AK289" s="50"/>
      <x:c r="AL289" s="50"/>
      <x:c r="AM289" s="50"/>
      <x:c r="AN289" s="50"/>
      <x:c r="AO289" s="50"/>
      <x:c r="AP289" s="50"/>
      <x:c r="AQ289" s="50"/>
      <x:c r="AR289" s="50"/>
      <x:c r="AS289" s="50"/>
      <x:c r="AT289" s="50"/>
      <x:c r="AU289" s="50"/>
      <x:c r="AV289" s="50"/>
    </x:row>
    <x:row r="290" ht="15.75" customHeight="1">
      <x:c r="A290" s="50"/>
      <x:c r="B290" s="50"/>
      <x:c r="C290" s="50"/>
      <x:c r="D290" s="50"/>
      <x:c r="E290" s="50"/>
      <x:c r="F290" s="50"/>
      <x:c r="G290" s="50"/>
      <x:c r="H290" s="50"/>
      <x:c r="I290" s="50"/>
      <x:c r="J290" s="50"/>
      <x:c r="K290" s="50"/>
      <x:c r="L290" s="50"/>
      <x:c r="M290" s="50"/>
      <x:c r="N290" s="50"/>
      <x:c r="O290" s="50"/>
      <x:c r="P290" s="50"/>
      <x:c r="Q290" s="50"/>
      <x:c r="R290" s="50"/>
      <x:c r="S290" s="50"/>
      <x:c r="T290" s="50"/>
      <x:c r="U290" s="50"/>
      <x:c r="V290" s="50"/>
      <x:c r="W290" s="50"/>
      <x:c r="X290" s="50"/>
      <x:c r="Y290" s="50"/>
      <x:c r="Z290" s="50"/>
      <x:c r="AA290" s="50"/>
      <x:c r="AB290" s="50"/>
      <x:c r="AC290" s="50"/>
      <x:c r="AD290" s="50"/>
      <x:c r="AE290" s="50"/>
      <x:c r="AF290" s="50"/>
      <x:c r="AG290" s="50"/>
      <x:c r="AH290" s="50"/>
      <x:c r="AI290" s="50"/>
      <x:c r="AJ290" s="50"/>
      <x:c r="AK290" s="50"/>
      <x:c r="AL290" s="50"/>
      <x:c r="AM290" s="50"/>
      <x:c r="AN290" s="50"/>
      <x:c r="AO290" s="50"/>
      <x:c r="AP290" s="50"/>
      <x:c r="AQ290" s="50"/>
      <x:c r="AR290" s="50"/>
      <x:c r="AS290" s="50"/>
      <x:c r="AT290" s="50"/>
      <x:c r="AU290" s="50"/>
      <x:c r="AV290" s="50"/>
    </x:row>
    <x:row r="291" ht="15.75" customHeight="1">
      <x:c r="A291" s="50"/>
      <x:c r="B291" s="50"/>
      <x:c r="C291" s="50"/>
      <x:c r="D291" s="50"/>
      <x:c r="E291" s="50"/>
      <x:c r="F291" s="50"/>
      <x:c r="G291" s="50"/>
      <x:c r="H291" s="50"/>
      <x:c r="I291" s="50"/>
      <x:c r="J291" s="50"/>
      <x:c r="K291" s="50"/>
      <x:c r="L291" s="50"/>
      <x:c r="M291" s="50"/>
      <x:c r="N291" s="50"/>
      <x:c r="O291" s="50"/>
      <x:c r="P291" s="50"/>
      <x:c r="Q291" s="50"/>
      <x:c r="R291" s="50"/>
      <x:c r="S291" s="50"/>
      <x:c r="T291" s="50"/>
      <x:c r="U291" s="50"/>
      <x:c r="V291" s="50"/>
      <x:c r="W291" s="50"/>
      <x:c r="X291" s="50"/>
      <x:c r="Y291" s="50"/>
      <x:c r="Z291" s="50"/>
      <x:c r="AA291" s="50"/>
      <x:c r="AB291" s="50"/>
      <x:c r="AC291" s="50"/>
      <x:c r="AD291" s="50"/>
      <x:c r="AE291" s="50"/>
      <x:c r="AF291" s="50"/>
      <x:c r="AG291" s="50"/>
      <x:c r="AH291" s="50"/>
      <x:c r="AI291" s="50"/>
      <x:c r="AJ291" s="50"/>
      <x:c r="AK291" s="50"/>
      <x:c r="AL291" s="50"/>
      <x:c r="AM291" s="50"/>
      <x:c r="AN291" s="50"/>
      <x:c r="AO291" s="50"/>
      <x:c r="AP291" s="50"/>
      <x:c r="AQ291" s="50"/>
      <x:c r="AR291" s="50"/>
      <x:c r="AS291" s="50"/>
      <x:c r="AT291" s="50"/>
      <x:c r="AU291" s="50"/>
      <x:c r="AV291" s="50"/>
    </x:row>
    <x:row r="292" ht="15.75" customHeight="1">
      <x:c r="A292" s="50"/>
      <x:c r="B292" s="50"/>
      <x:c r="C292" s="50"/>
      <x:c r="D292" s="50"/>
      <x:c r="E292" s="50"/>
      <x:c r="F292" s="50"/>
      <x:c r="G292" s="50"/>
      <x:c r="H292" s="50"/>
      <x:c r="I292" s="50"/>
      <x:c r="J292" s="50"/>
      <x:c r="K292" s="50"/>
      <x:c r="L292" s="50"/>
      <x:c r="M292" s="50"/>
      <x:c r="N292" s="50"/>
      <x:c r="O292" s="50"/>
      <x:c r="P292" s="50"/>
      <x:c r="Q292" s="50"/>
      <x:c r="R292" s="50"/>
      <x:c r="S292" s="50"/>
      <x:c r="T292" s="50"/>
      <x:c r="U292" s="50"/>
      <x:c r="V292" s="50"/>
      <x:c r="W292" s="50"/>
      <x:c r="X292" s="50"/>
      <x:c r="Y292" s="50"/>
      <x:c r="Z292" s="50"/>
      <x:c r="AA292" s="50"/>
      <x:c r="AB292" s="50"/>
      <x:c r="AC292" s="50"/>
      <x:c r="AD292" s="50"/>
      <x:c r="AE292" s="50"/>
      <x:c r="AF292" s="50"/>
      <x:c r="AG292" s="50"/>
      <x:c r="AH292" s="50"/>
      <x:c r="AI292" s="50"/>
      <x:c r="AJ292" s="50"/>
      <x:c r="AK292" s="50"/>
      <x:c r="AL292" s="50"/>
      <x:c r="AM292" s="50"/>
      <x:c r="AN292" s="50"/>
      <x:c r="AO292" s="50"/>
      <x:c r="AP292" s="50"/>
      <x:c r="AQ292" s="50"/>
      <x:c r="AR292" s="50"/>
      <x:c r="AS292" s="50"/>
      <x:c r="AT292" s="50"/>
      <x:c r="AU292" s="50"/>
      <x:c r="AV292" s="50"/>
    </x:row>
    <x:row r="293" ht="15.75" customHeight="1">
      <x:c r="A293" s="50"/>
      <x:c r="B293" s="50"/>
      <x:c r="C293" s="50"/>
      <x:c r="D293" s="50"/>
      <x:c r="E293" s="50"/>
      <x:c r="F293" s="50"/>
      <x:c r="G293" s="50"/>
      <x:c r="H293" s="50"/>
      <x:c r="I293" s="50"/>
      <x:c r="J293" s="50"/>
      <x:c r="K293" s="50"/>
      <x:c r="L293" s="50"/>
      <x:c r="M293" s="50"/>
      <x:c r="N293" s="50"/>
      <x:c r="O293" s="50"/>
      <x:c r="P293" s="50"/>
      <x:c r="Q293" s="50"/>
      <x:c r="R293" s="50"/>
      <x:c r="S293" s="50"/>
      <x:c r="T293" s="50"/>
      <x:c r="U293" s="50"/>
      <x:c r="V293" s="50"/>
      <x:c r="W293" s="50"/>
      <x:c r="X293" s="50"/>
      <x:c r="Y293" s="50"/>
      <x:c r="Z293" s="50"/>
      <x:c r="AA293" s="50"/>
      <x:c r="AB293" s="50"/>
      <x:c r="AC293" s="50"/>
      <x:c r="AD293" s="50"/>
      <x:c r="AE293" s="50"/>
      <x:c r="AF293" s="50"/>
      <x:c r="AG293" s="50"/>
      <x:c r="AH293" s="50"/>
      <x:c r="AI293" s="50"/>
      <x:c r="AJ293" s="50"/>
      <x:c r="AK293" s="50"/>
      <x:c r="AL293" s="50"/>
      <x:c r="AM293" s="50"/>
      <x:c r="AN293" s="50"/>
      <x:c r="AO293" s="50"/>
      <x:c r="AP293" s="50"/>
      <x:c r="AQ293" s="50"/>
      <x:c r="AR293" s="50"/>
      <x:c r="AS293" s="50"/>
      <x:c r="AT293" s="50"/>
      <x:c r="AU293" s="50"/>
      <x:c r="AV293" s="50"/>
    </x:row>
    <x:row r="294" ht="15.75" customHeight="1">
      <x:c r="A294" s="50"/>
      <x:c r="B294" s="50"/>
      <x:c r="C294" s="50"/>
      <x:c r="D294" s="50"/>
      <x:c r="E294" s="50"/>
      <x:c r="F294" s="50"/>
      <x:c r="G294" s="50"/>
      <x:c r="H294" s="50"/>
      <x:c r="I294" s="50"/>
      <x:c r="J294" s="50"/>
      <x:c r="K294" s="50"/>
      <x:c r="L294" s="50"/>
      <x:c r="M294" s="50"/>
      <x:c r="N294" s="50"/>
      <x:c r="O294" s="50"/>
      <x:c r="P294" s="50"/>
      <x:c r="Q294" s="50"/>
      <x:c r="R294" s="50"/>
      <x:c r="S294" s="50"/>
      <x:c r="T294" s="50"/>
      <x:c r="U294" s="50"/>
      <x:c r="V294" s="50"/>
      <x:c r="W294" s="50"/>
      <x:c r="X294" s="50"/>
      <x:c r="Y294" s="50"/>
      <x:c r="Z294" s="50"/>
      <x:c r="AA294" s="50"/>
      <x:c r="AB294" s="50"/>
      <x:c r="AC294" s="50"/>
      <x:c r="AD294" s="50"/>
      <x:c r="AE294" s="50"/>
      <x:c r="AF294" s="50"/>
      <x:c r="AG294" s="50"/>
      <x:c r="AH294" s="50"/>
      <x:c r="AI294" s="50"/>
      <x:c r="AJ294" s="50"/>
      <x:c r="AK294" s="50"/>
      <x:c r="AL294" s="50"/>
      <x:c r="AM294" s="50"/>
      <x:c r="AN294" s="50"/>
      <x:c r="AO294" s="50"/>
      <x:c r="AP294" s="50"/>
      <x:c r="AQ294" s="50"/>
      <x:c r="AR294" s="50"/>
      <x:c r="AS294" s="50"/>
      <x:c r="AT294" s="50"/>
      <x:c r="AU294" s="50"/>
      <x:c r="AV294" s="50"/>
    </x:row>
    <x:row r="295" ht="15.75" customHeight="1">
      <x:c r="A295" s="50"/>
      <x:c r="B295" s="50"/>
      <x:c r="C295" s="50"/>
      <x:c r="D295" s="50"/>
      <x:c r="E295" s="50"/>
      <x:c r="F295" s="50"/>
      <x:c r="G295" s="50"/>
      <x:c r="H295" s="50"/>
      <x:c r="I295" s="50"/>
      <x:c r="J295" s="50"/>
      <x:c r="K295" s="50"/>
      <x:c r="L295" s="50"/>
      <x:c r="M295" s="50"/>
      <x:c r="N295" s="50"/>
      <x:c r="O295" s="50"/>
      <x:c r="P295" s="50"/>
      <x:c r="Q295" s="50"/>
      <x:c r="R295" s="50"/>
      <x:c r="S295" s="50"/>
      <x:c r="T295" s="50"/>
      <x:c r="U295" s="50"/>
      <x:c r="V295" s="50"/>
      <x:c r="W295" s="50"/>
      <x:c r="X295" s="50"/>
      <x:c r="Y295" s="50"/>
      <x:c r="Z295" s="50"/>
      <x:c r="AA295" s="50"/>
      <x:c r="AB295" s="50"/>
      <x:c r="AC295" s="50"/>
      <x:c r="AD295" s="50"/>
      <x:c r="AE295" s="50"/>
      <x:c r="AF295" s="50"/>
      <x:c r="AG295" s="50"/>
      <x:c r="AH295" s="50"/>
      <x:c r="AI295" s="50"/>
      <x:c r="AJ295" s="50"/>
      <x:c r="AK295" s="50"/>
      <x:c r="AL295" s="50"/>
      <x:c r="AM295" s="50"/>
      <x:c r="AN295" s="50"/>
      <x:c r="AO295" s="50"/>
      <x:c r="AP295" s="50"/>
      <x:c r="AQ295" s="50"/>
      <x:c r="AR295" s="50"/>
      <x:c r="AS295" s="50"/>
      <x:c r="AT295" s="50"/>
      <x:c r="AU295" s="50"/>
      <x:c r="AV295" s="50"/>
    </x:row>
    <x:row r="296" ht="15.75" customHeight="1">
      <x:c r="A296" s="50"/>
      <x:c r="B296" s="50"/>
      <x:c r="C296" s="50"/>
      <x:c r="D296" s="50"/>
      <x:c r="E296" s="50"/>
      <x:c r="F296" s="50"/>
      <x:c r="G296" s="50"/>
      <x:c r="H296" s="50"/>
      <x:c r="I296" s="50"/>
      <x:c r="J296" s="50"/>
      <x:c r="K296" s="50"/>
      <x:c r="L296" s="50"/>
      <x:c r="M296" s="50"/>
      <x:c r="N296" s="50"/>
      <x:c r="O296" s="50"/>
      <x:c r="P296" s="50"/>
      <x:c r="Q296" s="50"/>
      <x:c r="R296" s="50"/>
      <x:c r="S296" s="50"/>
      <x:c r="T296" s="50"/>
      <x:c r="U296" s="50"/>
      <x:c r="V296" s="50"/>
      <x:c r="W296" s="50"/>
      <x:c r="X296" s="50"/>
      <x:c r="Y296" s="50"/>
      <x:c r="Z296" s="50"/>
      <x:c r="AA296" s="50"/>
      <x:c r="AB296" s="50"/>
      <x:c r="AC296" s="50"/>
      <x:c r="AD296" s="50"/>
      <x:c r="AE296" s="50"/>
      <x:c r="AF296" s="50"/>
      <x:c r="AG296" s="50"/>
      <x:c r="AH296" s="50"/>
      <x:c r="AI296" s="50"/>
      <x:c r="AJ296" s="50"/>
      <x:c r="AK296" s="50"/>
      <x:c r="AL296" s="50"/>
      <x:c r="AM296" s="50"/>
      <x:c r="AN296" s="50"/>
      <x:c r="AO296" s="50"/>
      <x:c r="AP296" s="50"/>
      <x:c r="AQ296" s="50"/>
      <x:c r="AR296" s="50"/>
      <x:c r="AS296" s="50"/>
      <x:c r="AT296" s="50"/>
      <x:c r="AU296" s="50"/>
      <x:c r="AV296" s="50"/>
    </x:row>
    <x:row r="297" ht="15.75" customHeight="1">
      <x:c r="A297" s="50"/>
      <x:c r="B297" s="50"/>
      <x:c r="C297" s="50"/>
      <x:c r="D297" s="50"/>
      <x:c r="E297" s="50"/>
      <x:c r="F297" s="50"/>
      <x:c r="G297" s="50"/>
      <x:c r="H297" s="50"/>
      <x:c r="I297" s="50"/>
      <x:c r="J297" s="50"/>
      <x:c r="K297" s="50"/>
      <x:c r="L297" s="50"/>
      <x:c r="M297" s="50"/>
      <x:c r="N297" s="50"/>
      <x:c r="O297" s="50"/>
      <x:c r="P297" s="50"/>
      <x:c r="Q297" s="50"/>
      <x:c r="R297" s="50"/>
      <x:c r="S297" s="50"/>
      <x:c r="T297" s="50"/>
      <x:c r="U297" s="50"/>
      <x:c r="V297" s="50"/>
      <x:c r="W297" s="50"/>
      <x:c r="X297" s="50"/>
      <x:c r="Y297" s="50"/>
      <x:c r="Z297" s="50"/>
      <x:c r="AA297" s="50"/>
      <x:c r="AB297" s="50"/>
      <x:c r="AC297" s="50"/>
      <x:c r="AD297" s="50"/>
      <x:c r="AE297" s="50"/>
      <x:c r="AF297" s="50"/>
      <x:c r="AG297" s="50"/>
      <x:c r="AH297" s="50"/>
      <x:c r="AI297" s="50"/>
      <x:c r="AJ297" s="50"/>
      <x:c r="AK297" s="50"/>
      <x:c r="AL297" s="50"/>
      <x:c r="AM297" s="50"/>
      <x:c r="AN297" s="50"/>
      <x:c r="AO297" s="50"/>
      <x:c r="AP297" s="50"/>
      <x:c r="AQ297" s="50"/>
      <x:c r="AR297" s="50"/>
      <x:c r="AS297" s="50"/>
      <x:c r="AT297" s="50"/>
      <x:c r="AU297" s="50"/>
      <x:c r="AV297" s="50"/>
    </x:row>
    <x:row r="298" ht="15.75" customHeight="1">
      <x:c r="A298" s="50"/>
      <x:c r="B298" s="50"/>
      <x:c r="C298" s="50"/>
      <x:c r="D298" s="50"/>
      <x:c r="E298" s="50"/>
      <x:c r="F298" s="50"/>
      <x:c r="G298" s="50"/>
      <x:c r="H298" s="50"/>
      <x:c r="I298" s="50"/>
      <x:c r="J298" s="50"/>
      <x:c r="K298" s="50"/>
      <x:c r="L298" s="50"/>
      <x:c r="M298" s="50"/>
      <x:c r="N298" s="50"/>
      <x:c r="O298" s="50"/>
      <x:c r="P298" s="50"/>
      <x:c r="Q298" s="50"/>
      <x:c r="R298" s="50"/>
      <x:c r="S298" s="50"/>
      <x:c r="T298" s="50"/>
      <x:c r="U298" s="50"/>
      <x:c r="V298" s="50"/>
      <x:c r="W298" s="50"/>
      <x:c r="X298" s="50"/>
      <x:c r="Y298" s="50"/>
      <x:c r="Z298" s="50"/>
      <x:c r="AA298" s="50"/>
      <x:c r="AB298" s="50"/>
      <x:c r="AC298" s="50"/>
      <x:c r="AD298" s="50"/>
      <x:c r="AE298" s="50"/>
      <x:c r="AF298" s="50"/>
      <x:c r="AG298" s="50"/>
      <x:c r="AH298" s="50"/>
      <x:c r="AI298" s="50"/>
      <x:c r="AJ298" s="50"/>
      <x:c r="AK298" s="50"/>
      <x:c r="AL298" s="50"/>
      <x:c r="AM298" s="50"/>
      <x:c r="AN298" s="50"/>
      <x:c r="AO298" s="50"/>
      <x:c r="AP298" s="50"/>
      <x:c r="AQ298" s="50"/>
      <x:c r="AR298" s="50"/>
      <x:c r="AS298" s="50"/>
      <x:c r="AT298" s="50"/>
      <x:c r="AU298" s="50"/>
      <x:c r="AV298" s="50"/>
    </x:row>
    <x:row r="299" ht="15.75" customHeight="1">
      <x:c r="A299" s="50"/>
      <x:c r="B299" s="50"/>
      <x:c r="C299" s="50"/>
      <x:c r="D299" s="50"/>
      <x:c r="E299" s="50"/>
      <x:c r="F299" s="50"/>
      <x:c r="G299" s="50"/>
      <x:c r="H299" s="50"/>
      <x:c r="I299" s="50"/>
      <x:c r="J299" s="50"/>
      <x:c r="K299" s="50"/>
      <x:c r="L299" s="50"/>
      <x:c r="M299" s="50"/>
      <x:c r="N299" s="50"/>
      <x:c r="O299" s="50"/>
      <x:c r="P299" s="50"/>
      <x:c r="Q299" s="50"/>
      <x:c r="R299" s="50"/>
      <x:c r="S299" s="50"/>
      <x:c r="T299" s="50"/>
      <x:c r="U299" s="50"/>
      <x:c r="V299" s="50"/>
      <x:c r="W299" s="50"/>
      <x:c r="X299" s="50"/>
      <x:c r="Y299" s="50"/>
      <x:c r="Z299" s="50"/>
      <x:c r="AA299" s="50"/>
      <x:c r="AB299" s="50"/>
      <x:c r="AC299" s="50"/>
      <x:c r="AD299" s="50"/>
      <x:c r="AE299" s="50"/>
      <x:c r="AF299" s="50"/>
      <x:c r="AG299" s="50"/>
      <x:c r="AH299" s="50"/>
      <x:c r="AI299" s="50"/>
      <x:c r="AJ299" s="50"/>
      <x:c r="AK299" s="50"/>
      <x:c r="AL299" s="50"/>
      <x:c r="AM299" s="50"/>
      <x:c r="AN299" s="50"/>
      <x:c r="AO299" s="50"/>
      <x:c r="AP299" s="50"/>
      <x:c r="AQ299" s="50"/>
      <x:c r="AR299" s="50"/>
      <x:c r="AS299" s="50"/>
      <x:c r="AT299" s="50"/>
      <x:c r="AU299" s="50"/>
      <x:c r="AV299" s="50"/>
    </x:row>
    <x:row r="300" ht="15.75" customHeight="1">
      <x:c r="A300" s="50"/>
      <x:c r="B300" s="50"/>
      <x:c r="C300" s="50"/>
      <x:c r="D300" s="50"/>
      <x:c r="E300" s="50"/>
      <x:c r="F300" s="50"/>
      <x:c r="G300" s="50"/>
      <x:c r="H300" s="50"/>
      <x:c r="I300" s="50"/>
      <x:c r="J300" s="50"/>
      <x:c r="K300" s="50"/>
      <x:c r="L300" s="50"/>
      <x:c r="M300" s="50"/>
      <x:c r="N300" s="50"/>
      <x:c r="O300" s="50"/>
      <x:c r="P300" s="50"/>
      <x:c r="Q300" s="50"/>
      <x:c r="R300" s="50"/>
      <x:c r="S300" s="50"/>
      <x:c r="T300" s="50"/>
      <x:c r="U300" s="50"/>
      <x:c r="V300" s="50"/>
      <x:c r="W300" s="50"/>
      <x:c r="X300" s="50"/>
      <x:c r="Y300" s="50"/>
      <x:c r="Z300" s="50"/>
      <x:c r="AA300" s="50"/>
      <x:c r="AB300" s="50"/>
      <x:c r="AC300" s="50"/>
      <x:c r="AD300" s="50"/>
      <x:c r="AE300" s="50"/>
      <x:c r="AF300" s="50"/>
      <x:c r="AG300" s="50"/>
      <x:c r="AH300" s="50"/>
      <x:c r="AI300" s="50"/>
      <x:c r="AJ300" s="50"/>
      <x:c r="AK300" s="50"/>
      <x:c r="AL300" s="50"/>
      <x:c r="AM300" s="50"/>
      <x:c r="AN300" s="50"/>
      <x:c r="AO300" s="50"/>
      <x:c r="AP300" s="50"/>
      <x:c r="AQ300" s="50"/>
      <x:c r="AR300" s="50"/>
      <x:c r="AS300" s="50"/>
      <x:c r="AT300" s="50"/>
      <x:c r="AU300" s="50"/>
      <x:c r="AV300" s="50"/>
    </x:row>
    <x:row r="301" ht="15.75" customHeight="1">
      <x:c r="A301" s="50"/>
      <x:c r="B301" s="50"/>
      <x:c r="C301" s="50"/>
      <x:c r="D301" s="50"/>
      <x:c r="E301" s="50"/>
      <x:c r="F301" s="50"/>
      <x:c r="G301" s="50"/>
      <x:c r="H301" s="50"/>
      <x:c r="I301" s="50"/>
      <x:c r="J301" s="50"/>
      <x:c r="K301" s="50"/>
      <x:c r="L301" s="50"/>
      <x:c r="M301" s="50"/>
      <x:c r="N301" s="50"/>
      <x:c r="O301" s="50"/>
      <x:c r="P301" s="50"/>
      <x:c r="Q301" s="50"/>
      <x:c r="R301" s="50"/>
      <x:c r="S301" s="50"/>
      <x:c r="T301" s="50"/>
      <x:c r="U301" s="50"/>
      <x:c r="V301" s="50"/>
      <x:c r="W301" s="50"/>
      <x:c r="X301" s="50"/>
      <x:c r="Y301" s="50"/>
      <x:c r="Z301" s="50"/>
      <x:c r="AA301" s="50"/>
      <x:c r="AB301" s="50"/>
      <x:c r="AC301" s="50"/>
      <x:c r="AD301" s="50"/>
      <x:c r="AE301" s="50"/>
      <x:c r="AF301" s="50"/>
      <x:c r="AG301" s="50"/>
      <x:c r="AH301" s="50"/>
      <x:c r="AI301" s="50"/>
      <x:c r="AJ301" s="50"/>
      <x:c r="AK301" s="50"/>
      <x:c r="AL301" s="50"/>
      <x:c r="AM301" s="50"/>
      <x:c r="AN301" s="50"/>
      <x:c r="AO301" s="50"/>
      <x:c r="AP301" s="50"/>
      <x:c r="AQ301" s="50"/>
      <x:c r="AR301" s="50"/>
      <x:c r="AS301" s="50"/>
      <x:c r="AT301" s="50"/>
      <x:c r="AU301" s="50"/>
      <x:c r="AV301" s="50"/>
    </x:row>
    <x:row r="302" ht="15.75" customHeight="1">
      <x:c r="A302" s="50"/>
      <x:c r="B302" s="50"/>
      <x:c r="C302" s="50"/>
      <x:c r="D302" s="50"/>
      <x:c r="E302" s="50"/>
      <x:c r="F302" s="50"/>
      <x:c r="G302" s="50"/>
      <x:c r="H302" s="50"/>
      <x:c r="I302" s="50"/>
      <x:c r="J302" s="50"/>
      <x:c r="K302" s="50"/>
      <x:c r="L302" s="50"/>
      <x:c r="M302" s="50"/>
      <x:c r="N302" s="50"/>
      <x:c r="O302" s="50"/>
      <x:c r="P302" s="50"/>
      <x:c r="Q302" s="50"/>
      <x:c r="R302" s="50"/>
      <x:c r="S302" s="50"/>
      <x:c r="T302" s="50"/>
      <x:c r="U302" s="50"/>
      <x:c r="V302" s="50"/>
      <x:c r="W302" s="50"/>
      <x:c r="X302" s="50"/>
      <x:c r="Y302" s="50"/>
      <x:c r="Z302" s="50"/>
      <x:c r="AA302" s="50"/>
      <x:c r="AB302" s="50"/>
      <x:c r="AC302" s="50"/>
      <x:c r="AD302" s="50"/>
      <x:c r="AE302" s="50"/>
      <x:c r="AF302" s="50"/>
      <x:c r="AG302" s="50"/>
      <x:c r="AH302" s="50"/>
      <x:c r="AI302" s="50"/>
      <x:c r="AJ302" s="50"/>
      <x:c r="AK302" s="50"/>
      <x:c r="AL302" s="50"/>
      <x:c r="AM302" s="50"/>
      <x:c r="AN302" s="50"/>
      <x:c r="AO302" s="50"/>
      <x:c r="AP302" s="50"/>
      <x:c r="AQ302" s="50"/>
      <x:c r="AR302" s="50"/>
      <x:c r="AS302" s="50"/>
      <x:c r="AT302" s="50"/>
      <x:c r="AU302" s="50"/>
      <x:c r="AV302" s="50"/>
    </x:row>
    <x:row r="303" ht="15.75" customHeight="1">
      <x:c r="A303" s="50"/>
      <x:c r="B303" s="50"/>
      <x:c r="C303" s="50"/>
      <x:c r="D303" s="50"/>
      <x:c r="E303" s="50"/>
      <x:c r="F303" s="50"/>
      <x:c r="G303" s="50"/>
      <x:c r="H303" s="50"/>
      <x:c r="I303" s="50"/>
      <x:c r="J303" s="50"/>
      <x:c r="K303" s="50"/>
      <x:c r="L303" s="50"/>
      <x:c r="M303" s="50"/>
      <x:c r="N303" s="50"/>
      <x:c r="O303" s="50"/>
      <x:c r="P303" s="50"/>
      <x:c r="Q303" s="50"/>
      <x:c r="R303" s="50"/>
      <x:c r="S303" s="50"/>
      <x:c r="T303" s="50"/>
      <x:c r="U303" s="50"/>
      <x:c r="V303" s="50"/>
      <x:c r="W303" s="50"/>
      <x:c r="X303" s="50"/>
      <x:c r="Y303" s="50"/>
      <x:c r="Z303" s="50"/>
      <x:c r="AA303" s="50"/>
      <x:c r="AB303" s="50"/>
      <x:c r="AC303" s="50"/>
      <x:c r="AD303" s="50"/>
      <x:c r="AE303" s="50"/>
      <x:c r="AF303" s="50"/>
      <x:c r="AG303" s="50"/>
      <x:c r="AH303" s="50"/>
      <x:c r="AI303" s="50"/>
      <x:c r="AJ303" s="50"/>
      <x:c r="AK303" s="50"/>
      <x:c r="AL303" s="50"/>
      <x:c r="AM303" s="50"/>
      <x:c r="AN303" s="50"/>
      <x:c r="AO303" s="50"/>
      <x:c r="AP303" s="50"/>
      <x:c r="AQ303" s="50"/>
      <x:c r="AR303" s="50"/>
      <x:c r="AS303" s="50"/>
      <x:c r="AT303" s="50"/>
      <x:c r="AU303" s="50"/>
      <x:c r="AV303" s="50"/>
    </x:row>
    <x:row r="304" ht="15.75" customHeight="1">
      <x:c r="A304" s="50"/>
      <x:c r="B304" s="50"/>
      <x:c r="C304" s="50"/>
      <x:c r="D304" s="50"/>
      <x:c r="E304" s="50"/>
      <x:c r="F304" s="50"/>
      <x:c r="G304" s="50"/>
      <x:c r="H304" s="50"/>
      <x:c r="I304" s="50"/>
      <x:c r="J304" s="50"/>
      <x:c r="K304" s="50"/>
      <x:c r="L304" s="50"/>
      <x:c r="M304" s="50"/>
      <x:c r="N304" s="50"/>
      <x:c r="O304" s="50"/>
      <x:c r="P304" s="50"/>
      <x:c r="Q304" s="50"/>
      <x:c r="R304" s="50"/>
      <x:c r="S304" s="50"/>
      <x:c r="T304" s="50"/>
      <x:c r="U304" s="50"/>
      <x:c r="V304" s="50"/>
      <x:c r="W304" s="50"/>
      <x:c r="X304" s="50"/>
      <x:c r="Y304" s="50"/>
      <x:c r="Z304" s="50"/>
      <x:c r="AA304" s="50"/>
      <x:c r="AB304" s="50"/>
      <x:c r="AC304" s="50"/>
      <x:c r="AD304" s="50"/>
      <x:c r="AE304" s="50"/>
      <x:c r="AF304" s="50"/>
      <x:c r="AG304" s="50"/>
      <x:c r="AH304" s="50"/>
      <x:c r="AI304" s="50"/>
      <x:c r="AJ304" s="50"/>
      <x:c r="AK304" s="50"/>
      <x:c r="AL304" s="50"/>
      <x:c r="AM304" s="50"/>
      <x:c r="AN304" s="50"/>
      <x:c r="AO304" s="50"/>
      <x:c r="AP304" s="50"/>
      <x:c r="AQ304" s="50"/>
      <x:c r="AR304" s="50"/>
      <x:c r="AS304" s="50"/>
      <x:c r="AT304" s="50"/>
      <x:c r="AU304" s="50"/>
      <x:c r="AV304" s="50"/>
    </x:row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2:G2"/>
    <x:mergeCell ref="D4:G4"/>
    <x:mergeCell ref="I4:O4"/>
    <x:mergeCell ref="P4:V4"/>
    <x:mergeCell ref="X4:AD4"/>
    <x:mergeCell ref="AE4:AK4"/>
    <x:mergeCell ref="B4:C4"/>
    <x:mergeCell ref="B5:C5"/>
    <x:mergeCell ref="D5:G5"/>
    <x:mergeCell ref="I5:O5"/>
    <x:mergeCell ref="P5:V5"/>
    <x:mergeCell ref="X5:AD5"/>
    <x:mergeCell ref="AE5:AK5"/>
    <x:mergeCell ref="B6:H6"/>
    <x:mergeCell ref="B8:H8"/>
    <x:mergeCell ref="B9:H9"/>
    <x:mergeCell ref="I8:W8"/>
    <x:mergeCell ref="X8:AK8"/>
    <x:mergeCell ref="AL8:AY8"/>
    <x:mergeCell ref="AZ8:BJ8"/>
    <x:mergeCell ref="I9:P9"/>
    <x:mergeCell ref="Q9:W9"/>
    <x:mergeCell ref="X9:AD9"/>
    <x:mergeCell ref="AE9:AK9"/>
    <x:mergeCell ref="AL9:AR9"/>
    <x:mergeCell ref="AS9:AY9"/>
    <x:mergeCell ref="AZ9:BF9"/>
    <x:mergeCell ref="BG9:BJ9"/>
    <x:mergeCell ref="I2:BJ2"/>
    <x:mergeCell ref="I6:BJ6"/>
    <x:mergeCell ref="B117:H117"/>
  </x:mergeCells>
  <x:conditionalFormatting sqref="I10:BJ10">
    <x:cfRule type="expression" dxfId="17" priority="9">
      <x:formula>WEEKDAY(I$10,2)&gt;5</x:formula>
    </x:cfRule>
  </x:conditionalFormatting>
  <x:conditionalFormatting sqref="E11:F125">
    <x:cfRule type="expression" dxfId="66" priority="16">
      <x:formula>AND(ISNUMBER($E11),ISNUMBER($F11),OR($F11&lt;$E11,$E11&lt;$P$4,$F11&gt;$AE$4))</x:formula>
    </x:cfRule>
  </x:conditionalFormatting>
  <x:conditionalFormatting sqref="H11:H125">
    <x:cfRule type="expression" dxfId="68" priority="17">
      <x:formula>H11="시작 전"</x:formula>
    </x:cfRule>
    <x:cfRule type="expression" dxfId="69" priority="18">
      <x:formula>H11="진행 중"</x:formula>
    </x:cfRule>
    <x:cfRule type="expression" dxfId="70" priority="19">
      <x:formula>H11="완료"</x:formula>
    </x:cfRule>
    <x:cfRule type="expression" dxfId="71" priority="20">
      <x:formula>H11="보류"</x:formula>
    </x:cfRule>
    <x:cfRule type="expression" dxfId="80" priority="29">
      <x:formula>H11="날짜 확인"</x:formula>
    </x:cfRule>
  </x:conditionalFormatting>
  <x:conditionalFormatting sqref="I11:BJ125">
    <x:cfRule type="expression" dxfId="72" priority="21">
      <x:formula>AND($H11="완료",ISNUMBER($E11),ISNUMBER($F11),I$10&gt;=$E11,I$10&lt;=$F11)</x:formula>
    </x:cfRule>
    <x:cfRule type="expression" dxfId="73" priority="22">
      <x:formula>AND($H11="진행 중",ISNUMBER($E11),ISNUMBER($F11),I$10&gt;=$E11,I$10&lt;=$F11)</x:formula>
    </x:cfRule>
    <x:cfRule type="expression" dxfId="74" priority="23">
      <x:formula>AND($H11="보류",ISNUMBER($E11),ISNUMBER($F11),I$10&gt;=$E11,I$10&lt;=$F11)</x:formula>
    </x:cfRule>
  </x:conditionalFormatting>
  <x:conditionalFormatting sqref="I11:BJ23">
    <x:cfRule type="expression" dxfId="75" priority="24">
      <x:formula>AND($H11="시작 전",ISNUMBER($E11),ISNUMBER($F11),I$10&gt;=$E11,I$10&lt;=$F11)</x:formula>
    </x:cfRule>
  </x:conditionalFormatting>
  <x:conditionalFormatting sqref="I24:BJ37">
    <x:cfRule type="expression" dxfId="76" priority="25">
      <x:formula>AND($H24="시작 전",ISNUMBER($E24),ISNUMBER($F24),I$10&gt;=$E24,I$10&lt;=$F24)</x:formula>
    </x:cfRule>
  </x:conditionalFormatting>
  <x:conditionalFormatting sqref="I38:BJ82">
    <x:cfRule type="expression" dxfId="77" priority="26">
      <x:formula>AND($H38="시작 전",ISNUMBER($E38),ISNUMBER($F38),I$10&gt;=$E38,I$10&lt;=$F38)</x:formula>
    </x:cfRule>
  </x:conditionalFormatting>
  <x:conditionalFormatting sqref="I83:BJ94">
    <x:cfRule type="expression" dxfId="78" priority="27">
      <x:formula>AND($H83="시작 전",ISNUMBER($E83),ISNUMBER($F83),I$10&gt;=$E83,I$10&lt;=$F83)</x:formula>
    </x:cfRule>
  </x:conditionalFormatting>
  <x:conditionalFormatting sqref="I95:BJ115">
    <x:cfRule type="expression" dxfId="79" priority="28">
      <x:formula>AND($H95="시작 전",ISNUMBER($E95),ISNUMBER($F95),I$10&gt;=$E95,I$10&lt;=$F95)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ColWidth="12.630000114440918" defaultRowHeight="15"/>
  <x:cols>
    <x:col min="1" max="1" width="12.5" customWidth="1"/>
    <x:col min="2" max="2" width="18.1299991607666" customWidth="1"/>
    <x:col min="3" max="3" width="30.6299991607666" customWidth="1"/>
    <x:col min="4" max="4" width="27.5" customWidth="1"/>
    <x:col min="5" max="5" width="25" customWidth="1"/>
    <x:col min="6" max="6" width="41.25" customWidth="1"/>
    <x:col min="7" max="7" width="30" customWidth="1"/>
    <x:col min="8" max="9" width="45.630001068115234" customWidth="1"/>
    <x:col min="10" max="26" width="8.630000114440918" customWidth="1"/>
  </x:cols>
  <x:sheetData>
    <x:row r="1" ht="24" customHeight="1">
      <x:c r="A1" s="1" t="s">
        <x:v>16</x:v>
      </x:c>
      <x:c r="B1" s="1"/>
      <x:c r="C1" s="1"/>
      <x:c r="D1" s="1"/>
      <x:c r="E1" s="1"/>
      <x:c r="F1" s="1"/>
      <x:c r="G1" s="1"/>
      <x:c r="H1" s="1"/>
      <x:c r="I1" s="1"/>
    </x:row>
    <x:row r="2" ht="18" customHeight="1">
      <x:c r="A2" s="3" t="str">
        <x:v>요구사항 v0.5 165개 · 실행범위 100개(과거 기록 포함) / 보류 7개 · 총 107개 · 2026-10-26 개정</x:v>
      </x:c>
      <x:c r="B2" s="3"/>
      <x:c r="C2" s="3"/>
      <x:c r="D2" s="3"/>
      <x:c r="E2" s="3"/>
      <x:c r="F2" s="3"/>
      <x:c r="G2" s="3"/>
      <x:c r="H2" s="3"/>
      <x:c r="I2" s="3"/>
    </x:row>
    <x:row r="3" ht="18" customHeight="1">
      <x:c r="A3" s="3" t="str">
        <x:v>원본의 과거 활동 1.1~1.7은 날짜·내용 보존. 신규 작업은 단계별 시작일 순 편입. 보류는 별도 구간이며 현재 일정/단계 집계에서 제외.</x:v>
      </x:c>
      <x:c r="B3" s="3"/>
      <x:c r="C3" s="3"/>
      <x:c r="D3" s="3"/>
      <x:c r="E3" s="3"/>
      <x:c r="F3" s="3"/>
      <x:c r="G3" s="3"/>
      <x:c r="H3" s="3"/>
      <x:c r="I3" s="3"/>
    </x:row>
    <x:row r="4" ht="18" customHeight="1">
      <x:c r="A4" s="3" t="str">
        <x:v>입력: 시트1 주 담당(D)·시작일(E)·마감일(F). 세부 작업 상태(H)는 오늘 날짜로 자동 계산하고 단계 상태는 하위 작업에서 집계한다.</x:v>
      </x:c>
      <x:c r="B4" s="3"/>
      <x:c r="C4" s="3"/>
      <x:c r="D4" s="3"/>
      <x:c r="E4" s="3"/>
      <x:c r="F4" s="3"/>
      <x:c r="G4" s="3"/>
      <x:c r="H4" s="3"/>
      <x:c r="I4" s="3"/>
    </x:row>
    <x:row r="5" ht="18" customHeight="1">
      <x:c r="A5" s="3" t="str">
        <x:v>시작일 전=시작 전, 시작일~마감일 당일=진행 중, 마감일 다음 날부터=완료. 보류7개는 보류 유지. 완료는 일정상 기간 종료이며 실제 산출물·검증·제출 완료를 보장하지 않는다. 날짜 누락/역전은 날짜 확인으로 표시한다.</x:v>
      </x:c>
      <x:c r="B5" s="3"/>
      <x:c r="C5" s="3"/>
      <x:c r="D5" s="3"/>
      <x:c r="E5" s="3"/>
      <x:c r="F5" s="3"/>
      <x:c r="G5" s="3"/>
      <x:c r="H5" s="3"/>
      <x:c r="I5" s="3"/>
    </x:row>
    <x:row r="6" ht="18" customHeight="1">
      <x:c r="A6" s="3" t="str">
        <x:v>11/18 구현·설정·테스트 코드 마감,11/19 검증 시작,11/26~12/3 수정,12/4승인,12/5배포,12/6경로확인,12/7리허설,12/8제출.</x:v>
      </x:c>
      <x:c r="B6" s="3"/>
      <x:c r="C6" s="3"/>
      <x:c r="D6" s="3"/>
      <x:c r="E6" s="3"/>
      <x:c r="F6" s="3"/>
      <x:c r="G6" s="3"/>
      <x:c r="H6" s="3"/>
      <x:c r="I6" s="3"/>
    </x:row>
    <x:row r="7" ht="25.5" customHeight="1">
      <x:c r="A7" s="4" t="s">
        <x:v>10</x:v>
      </x:c>
      <x:c r="B7" s="4" t="s">
        <x:v>17</x:v>
      </x:c>
      <x:c r="C7" s="4" t="s">
        <x:v>11</x:v>
      </x:c>
      <x:c r="D7" s="4" t="s">
        <x:v>18</x:v>
      </x:c>
      <x:c r="E7" s="4" t="s">
        <x:v>19</x:v>
      </x:c>
      <x:c r="F7" s="4" t="s">
        <x:v>20</x:v>
      </x:c>
      <x:c r="G7" s="4" t="s">
        <x:v>21</x:v>
      </x:c>
      <x:c r="H7" s="4" t="s">
        <x:v>22</x:v>
      </x:c>
      <x:c r="I7" s="4" t="s">
        <x:v>23</x:v>
      </x:c>
    </x:row>
    <x:row r="8" ht="100" customHeight="1">
      <x:c r="A8" s="860" t="str">
        <x:v>WBS-1.1</x:v>
      </x:c>
      <x:c r="B8" s="861" t="str">
        <x:v>착수·주제 검토·요구사항 확정</x:v>
      </x:c>
      <x:c r="C8" s="862" t="str">
        <x:v>초기 주제 발굴·기획안 작성</x:v>
      </x:c>
      <x:c r="D8" s="862" t="str">
        <x:f>'시트1'!D12&amp;CHAR(10)&amp;"협업: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8" s="862" t="str">
        <x:v>없음</x:v>
      </x:c>
      <x:c r="F8" s="862" t="str">
        <x:v>기획·관리 작업</x:v>
      </x:c>
      <x:c r="G8" s="862" t="str">
        <x:v>초기 후보 기획안·비교 기준</x:v>
      </x:c>
      <x:c r="H8" s="862" t="str">
        <x:v>10/16 교육안을 포함한 후보 발굴·기획안 작성·공유 기록을 정리한다.</x:v>
      </x:c>
      <x:c r="I8" s="862" t="str">
        <x:v>S01. 실제 10/16 작업을 프로젝트 1주차 WBS에 포함. 다른 후보의 기능을 사고뭉치 구현으로 합치지 않음.</x:v>
      </x:c>
    </x:row>
    <x:row r="9" ht="100" customHeight="1">
      <x:c r="A9" s="860" t="str">
        <x:v>WBS-1.2</x:v>
      </x:c>
      <x:c r="B9" s="861" t="str">
        <x:v>착수·주제 검토·요구사항 확정</x:v>
      </x:c>
      <x:c r="C9" s="862" t="str">
        <x:v>후보 MVP 제작·데이터·경쟁 조사</x:v>
      </x:c>
      <x:c r="D9" s="862" t="str">
        <x:f>'시트1'!D13&amp;CHAR(10)&amp;"협업: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9" s="862" t="str">
        <x:v>WBS-1.1</x:v>
      </x:c>
      <x:c r="F9" s="862" t="str">
        <x:v>기획·관리 작업</x:v>
      </x:c>
      <x:c r="G9" s="862" t="str">
        <x:v>후보별 MVP·조사 결과</x:v>
      </x:c>
      <x:c r="H9" s="862" t="str">
        <x:v>주말에 수행한 후보별 조사·MVP 보고를 작업으로 반영하고 실제 보고자·기능 범위와 미검증 사항을 기록한다.</x:v>
      </x:c>
      <x:c r="I9" s="862" t="str">
        <x:v>S02·S03. 10/17~18 실제 작업, 10/19 공유. 최성욱 원문 본문 날짜 불일치는 확인 필요. 주 담당은 취합·조정 책임이며 개인별 구현 보고자는 진행 근거 표에 보존.</x:v>
      </x:c>
    </x:row>
    <x:row r="10" ht="100" customHeight="1">
      <x:c r="A10" s="860" t="str">
        <x:v>WBS-1.3</x:v>
      </x:c>
      <x:c r="B10" s="861" t="str">
        <x:v>착수·주제 검토·요구사항 확정</x:v>
      </x:c>
      <x:c r="C10" s="862" t="str">
        <x:v>후보 비교·교육 서비스 차별화 검토</x:v>
      </x:c>
      <x:c r="D10" s="862" t="str">
        <x:f>'시트1'!D14&amp;CHAR(10)&amp;"협업: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10" s="862" t="str">
        <x:v>WBS-1.2</x:v>
      </x:c>
      <x:c r="F10" s="862" t="str">
        <x:v>기획·관리 작업</x:v>
      </x:c>
      <x:c r="G10" s="862" t="str">
        <x:v>후보 비교표·교육 서비스 차별화 근거</x:v>
      </x:c>
      <x:c r="H10" s="862" t="str">
        <x:v>사용자 문제·유사 서비스·데이터 경로·기한 내 구현 가능성을 비교하고 교육안의 단순 GPT 피드백 대비 차이와 미검증 가설을 정리한다.</x:v>
      </x:c>
      <x:c r="I10" s="862" t="str">
        <x:v>S04~S06·S09·S10. 다른 후보는 선정 경위로만 보존. B2G/B2B2C·과학/사회/영어 확장은 현재 결정으로 간주하지 않음. / 10/19~23 후보 검토 작업. 이전 주말 MVP 제작과 구분.</x:v>
      </x:c>
    </x:row>
    <x:row r="11" ht="100" customHeight="1">
      <x:c r="A11" s="860" t="str">
        <x:v>WBS-1.4</x:v>
      </x:c>
      <x:c r="B11" s="861" t="str">
        <x:v>착수·주제 검토·요구사항 확정</x:v>
      </x:c>
      <x:c r="C11" s="862" t="str">
        <x:v>교육 MVP·기존 산출물 현황 정리</x:v>
      </x:c>
      <x:c r="D11" s="862" t="str">
        <x:f>'시트1'!D15&amp;CHAR(10)&amp;"협업: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11" s="862" t="str">
        <x:v>없음</x:v>
      </x:c>
      <x:c r="F11" s="862" t="str">
        <x:v>기획·관리 작업</x:v>
      </x:c>
      <x:c r="G11" s="862" t="str">
        <x:v>교육 MVP 버전·코드·문서·데이터 현황표</x:v>
      </x:c>
      <x:c r="H11" s="862" t="str">
        <x:v>수업 8개·규칙 피드백·브라우저 기록의 보고를 실제 코드·버전과 대조할 항목으로 정리한다. 계정·서버·AI·운영 요구의 차이를 구분한다.</x:v>
      </x:c>
      <x:c r="I11" s="862" t="str">
        <x:v>S07: 10/21 규칙 기반·localStorage MVP 보고. S08: 10/22 별도 MVP 구현 보고. 동일 버전·실행 범위 미확인. 원문 보고를 운영 기능 완료로 처리하지 않음. / 10/21~22 구현·검토 보고 범위를 반영. 요구사항 전체 완료율로 환산하지 않음.</x:v>
      </x:c>
    </x:row>
    <x:row r="12" ht="100" customHeight="1">
      <x:c r="A12" s="860" t="str">
        <x:v>WBS-1.5</x:v>
      </x:c>
      <x:c r="B12" s="861" t="str">
        <x:v>착수·주제 검토·요구사항 확정</x:v>
      </x:c>
      <x:c r="C12" s="862" t="str">
        <x:v>멘토링 피드백·후속 과제 정리</x:v>
      </x:c>
      <x:c r="D12" s="862" t="str">
        <x:f>'시트1'!D16&amp;CHAR(10)&amp;"협업: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12" s="862" t="str">
        <x:v>없음</x:v>
      </x:c>
      <x:c r="F12" s="862" t="str">
        <x:v>기획·관리 작업</x:v>
      </x:c>
      <x:c r="G12" s="862" t="str">
        <x:v>10/21 멘토링 피드백·후속 과제표</x:v>
      </x:c>
      <x:c r="H12" s="862" t="str">
        <x:v>루브릭 데이터·유사 서비스·소형 모델 역할·서비스 완성 범위와 10/23 초안 제출 요구를 정리해 담당 작업에 연결한다.</x:v>
      </x:c>
      <x:c r="I12" s="862" t="str">
        <x:v>S06. 세션 기록은 확인. 피드백 반영 완료·후속 멘토링 일정 확정·제출 완료는 미확인. 현재 담당 배정 기준으로 후속 작업을 제안.</x:v>
      </x:c>
    </x:row>
    <x:row r="13" ht="100" customHeight="1">
      <x:c r="A13" s="860" t="str">
        <x:v>WBS-1.6</x:v>
      </x:c>
      <x:c r="B13" s="861" t="str">
        <x:v>착수·주제 검토·요구사항 확정</x:v>
      </x:c>
      <x:c r="C13" s="862" t="str">
        <x:v>교육 데이터·성취기준 확보 검토</x:v>
      </x:c>
      <x:c r="D13" s="862" t="str">
        <x:f>'시트1'!D17&amp;CHAR(10)&amp;"협업: 김재현, 최성욱"&amp;CHAR(10)&amp;"전반 관리: 김태윤(PM), 김동섭(APM)"</x:f>
        <x:v>김동섭
협업: 김재현, 최성욱
전반 관리: 김태윤(PM), 김동섭(APM)</x:v>
      </x:c>
      <x:c r="E13" s="862" t="str">
        <x:v>없음</x:v>
      </x:c>
      <x:c r="F13" s="862" t="str">
        <x:v>기획·관리 작업</x:v>
      </x:c>
      <x:c r="G13" s="862" t="str">
        <x:v>교육 데이터 확보·권리·성취기준 연결 현황표</x:v>
      </x:c>
      <x:c r="H13" s="862" t="str">
        <x:v>개념 설명 24항목 예비 대조표와 수업 8개 연결 후보를 정리하고 NCIC·AI-Hub·KICE 등 후보의 원본 확보·이용 조건·채점 기준·전문가 검수 필요를 구분한다.</x:v>
      </x:c>
      <x:c r="I13" s="862" t="str">
        <x:v>S05·S07·S10. 조사·예비 매핑 보고를 공식 매핑·원본 확보·학습 데이터 구축 완료로 바꾸지 않음. 본 제작·분할은 2.4·2.5 및 3.5에서 수행.</x:v>
      </x:c>
    </x:row>
    <x:row r="14" ht="452" customHeight="1">
      <x:c r="A14" s="860" t="str">
        <x:v>WBS-1.7</x:v>
      </x:c>
      <x:c r="B14" s="861" t="str">
        <x:v>착수·주제 검토·요구사항 확정</x:v>
      </x:c>
      <x:c r="C14" s="862" t="str">
        <x:v>기획서·요구사항·WBS 초안 정리</x:v>
      </x:c>
      <x:c r="D14" s="862" t="str">
        <x:f>'시트1'!D18&amp;CHAR(10)&amp;"협업: 최성욱, 김동섭"&amp;CHAR(10)&amp;"전반 관리: 김태윤(PM), 김동섭(APM)"</x:f>
        <x:v>김태윤
협업: 최성욱, 김동섭
전반 관리: 김태윤(PM), 김동섭(APM)</x:v>
      </x:c>
      <x:c r="E14" s="862" t="str">
        <x:v>WBS-1.4, WBS-1.5, WBS-1.6</x:v>
      </x:c>
      <x:c r="F14" s="862" t="str">
        <x:v>FFJ-01, FBF-01, FBF-02, FBF-03, FFJ-02, FBN-01, FBN-02, FBF-04, FFJ-03, FFJ-04, FFJ-05, FFJ-06, FFJ-07, FFJ-08, FFJ-09, FFJ-10, FFJ-11, FFH-01, FAD-01, FFJ-12, FFJ-13, FFJ-14, FFJ-15, FBF-05, FBF-06, FBN-03, FFJ-16, FBF-07, FFJ-17, FBF-08, FFH-02, FBF-09, FAC-01, FAC-02, FAC-03, FAC-04, FBN-04, FBF-10, FFH-03, FBN-05, FFJ-18, FAC-05, FBF-11, FAC-06, FFJ-19, FFJ-20, FAC-07, FBF-12, FBF-13, FBF-14, FBF-15, FBF-16, FAC-08, FAC-09, FAD-02, FAC-10, FFH-04, FBF-17, FBN-06, FFH-05, FFJ-21, FFH-06, FFH-07, FBN-07, FFH-08, FFH-09, FFH-10, FFJ-22, FFJ-23, FBN-08, FFH-11, FFH-12, FFH-13, FFJ-24, FBF-18, FFH-14, FAD-03, FAD-04, FBN-09, FBF-19, FBN-10, FAD-05, FAC-11, FBN-11, FBF-20, FFJ-25, FBF-21, FBN-12, FFJ-26, FBF-22, FBF-23, FFH-15, FBF-24, FFJ-27, FBF-25, FAR-01, FAR-02, FAR-03, FAR-04, FFH-16, FFJ-28, FAD-06, FBN-13, FBN-14, FBN-15, FBN-16, FBN-17, FBN-18, FBN-19, FBN-20, FAC-12, FAR-05, FBN-21, FBN-22, FBN-23, FFJ-29, FBF-26, FBF-27, FFH-17, FBF-28, FFH-18, FBF-29, FFJ-30, FFJ-31, FBN-24, FFH-19, FFJ-32, FBF-30, FBF-31, FBF-32, FBF-33, FFH-20, FFJ-33, FFJ-34, FBF-34, FBN-25, FFH-21, FBF-35, FBF-36, FAR-06, FAC-13, FAC-14, FAC-15, FAC-16, FFJ-35, FFJ-36, FFJ-37, FFJ-38, FFJ-39, FBF-37, FFJ-40</x:v>
      </x:c>
      <x:c r="G14" s="862" t="str">
        <x:v>기획서·요구사항 v0.3·WBS 제출본</x:v>
      </x:c>
      <x:c r="H14" s="862" t="str">
        <x:v>151개 요구사항과 최초 초안 48개의 연결을 유지하고 기능 분해·데이터 확보 상태·담당·일정을 초안에 반영한다. 제출 여부는 별도로 확인한다.</x:v>
      </x:c>
      <x:c r="I14" s="862" t="str">
        <x:v>S11·S12. 10/23 제출 일정에 맞춰 기획 초안을 정리한다. 수집 데이터 보고서는 WBS-5.4에서 별도로 제출하며 미확보 데이터를 확보 완료로 작성하지 않음. 제출 사실은 증빙 확인 후 표시.</x:v>
      </x:c>
    </x:row>
    <x:row r="15" ht="100" customHeight="1">
      <x:c r="A15" s="860" t="str">
        <x:v>WBS-1.8</x:v>
      </x:c>
      <x:c r="B15" s="861" t="str">
        <x:v>착수·주제 검토·요구사항 확정</x:v>
      </x:c>
      <x:c r="C15" s="862" t="str">
        <x:v>계정·자녀·기록 정책 결정</x:v>
      </x:c>
      <x:c r="D15" s="862" t="str">
        <x:f>'시트1'!D19&amp;CHAR(10)&amp;"협업: 김태윤, 최성욱"&amp;CHAR(10)&amp;"전반 관리: 김태윤(PM), 김동섭(APM)"</x:f>
        <x:v>최인영
협업: 김태윤, 최성욱
전반 관리: 김태윤(PM), 김동섭(APM)</x:v>
      </x:c>
      <x:c r="E15" s="862" t="str">
        <x:v>WBS-1.7</x:v>
      </x:c>
      <x:c r="F15" s="862" t="str">
        <x:v>FFJ-01, FBF-01, FBF-02, FBF-03, FFJ-02, FBN-01, FBN-02, FBF-04, FFJ-25, FBF-21, FBN-12, FFJ-29, FBF-26, FBF-27, FBF-24, FFJ-27, FBF-25</x:v>
      </x:c>
      <x:c r="G15" s="862" t="str">
        <x:v>계정·자녀 연결·보관 정책</x:v>
      </x:c>
      <x:c r="H15" s="862" t="str">
        <x:v>P01·P02·P05·P09를 데모 계정·가상 학생 기준으로 확정하고 메모 저장·동의·삭제 범위를 계약에 반영한다.</x:v>
      </x:c>
      <x:c r="I15" s="862" t="str">
        <x:v>메모 저장과 시연 링크 방식 검토 필요</x:v>
      </x:c>
    </x:row>
    <x:row r="16" ht="116" customHeight="1">
      <x:c r="A16" s="860" t="str">
        <x:v>WBS-1.9</x:v>
      </x:c>
      <x:c r="B16" s="861" t="str">
        <x:v>착수·주제 검토·요구사항 확정</x:v>
      </x:c>
      <x:c r="C16" s="862" t="str">
        <x:v>학습·판정·집계와 확장 정책 결정</x:v>
      </x:c>
      <x:c r="D16" s="862" t="str">
        <x:f>'시트1'!D20&amp;CHAR(10)&amp;"협업: 김동섭, 김태윤, 김재현"&amp;CHAR(10)&amp;"전반 관리: 김태윤(PM), 김동섭(APM)"</x:f>
        <x:v>최성욱
협업: 김동섭, 김태윤, 김재현
전반 관리: 김태윤(PM), 김동섭(APM)</x:v>
      </x:c>
      <x:c r="E16" s="862" t="str">
        <x:v>WBS-1.7</x:v>
      </x:c>
      <x:c r="F16" s="862" t="str">
        <x:v>FFH-01, FAD-01, FFJ-12, FFJ-13, FFJ-14, FFJ-15, FBF-05, FBF-06, FBN-03, FFJ-16, FBF-07, FFJ-17, FBF-08, FFH-02, FBF-09, FAC-01, FAC-02, FAC-03, FAC-04, FBN-04, FBF-10, FBF-14, FBF-15, FBF-16, FAC-08, FAC-09, FAD-02, FAC-10, FFH-04, FBF-17, FBN-06</x:v>
      </x:c>
      <x:c r="G16" s="862" t="str">
        <x:v>입력·종료·판정·집계 규칙</x:v>
      </x:c>
      <x:c r="H16" s="862" t="str">
        <x:v>P03·P04·P08·P16: 35개 미션 구성, 닫힌/열린 분기, 학년별 되묻기 상한, 요소 이진 판정, 집계 단위·보류·실패를 결정한다.</x:v>
      </x:c>
      <x:c r="I16" s="862" t="str">
        <x:v>학년·건너뛰기·작은 표본·대체 응답 검토 / S09 암기 카드·간격 복습·확신도·학습 기반 지표는 검토 필요. 현재 151개 요구사항의 확정 구현 범위로 자동 추가하지 않음.</x:v>
      </x:c>
    </x:row>
    <x:row r="17" ht="100" customHeight="1">
      <x:c r="A17" s="860" t="str">
        <x:v>WBS-1.10</x:v>
      </x:c>
      <x:c r="B17" s="861" t="str">
        <x:v>착수·주제 검토·요구사항 확정</x:v>
      </x:c>
      <x:c r="C17" s="862" t="str">
        <x:v>모델·평가 범위 결정</x:v>
      </x:c>
      <x:c r="D17" s="862" t="str">
        <x:f>'시트1'!D21&amp;CHAR(10)&amp;"협업: 황수빈, 김동섭, 최성욱"&amp;CHAR(10)&amp;"전반 관리: 김태윤(PM), 김동섭(APM)"</x:f>
        <x:v>김재현
협업: 황수빈, 김동섭, 최성욱
전반 관리: 김태윤(PM), 김동섭(APM)</x:v>
      </x:c>
      <x:c r="E17" s="862" t="str">
        <x:v>WBS-1.6, WBS-1.7</x:v>
      </x:c>
      <x:c r="F17" s="862" t="str">
        <x:v>FAC-13, FAC-14, FAC-15, FAC-16, FAR-01, FAR-02, FAR-03, FAR-04</x:v>
      </x:c>
      <x:c r="G17" s="862" t="str">
        <x:v>M2 우선·M1 비교·sLLM 확장 범위</x:v>
      </x:c>
      <x:c r="H17" s="862" t="str">
        <x:v>PM이 10/30까지 기준선·QWK·카파·표본·허용 기준을 합의하도록 모델 계획을 준비한다. M1은 기존 결과와 3.29 학습 실험을 구분해 11/1까지 선택한다.</x:v>
      </x:c>
      <x:c r="I17" s="862" t="str">
        <x:v>sLLM은 이번 데모 필수에서 제외. 11/1 후보 확정, 11/22 준비 상태 검토, 최종 활성화는 4.2·4.7 이후. 0.8 등 임시값을 승인 기준으로 쓰지 않는다.</x:v>
      </x:c>
    </x:row>
    <x:row r="18" ht="116" customHeight="1">
      <x:c r="A18" s="860" t="str">
        <x:v>WBS-1.11</x:v>
      </x:c>
      <x:c r="B18" s="861" t="str">
        <x:v>착수·주제 검토·요구사항 확정</x:v>
      </x:c>
      <x:c r="C18" s="862" t="str">
        <x:v>운영·리포트·결제 정책 결정</x:v>
      </x:c>
      <x:c r="D18" s="862" t="str">
        <x:f>'시트1'!D22&amp;CHAR(10)&amp;"협업: 김동섭, 최인영, 최성욱"&amp;CHAR(10)&amp;"전반 관리: 김태윤(PM), 김동섭(APM)"</x:f>
        <x:v>김태윤
협업: 김동섭, 최인영, 최성욱
전반 관리: 김태윤(PM), 김동섭(APM)</x:v>
      </x:c>
      <x:c r="E18" s="862" t="str">
        <x:v>WBS-1.7</x:v>
      </x:c>
      <x:c r="F18" s="862" t="str">
        <x:v>FBN-13, FBN-14, FBN-15, FBN-16, FBN-17, FBN-18, FBN-19, FBN-20, FAC-12, FAR-05, FBN-21, FBN-22, FBN-23, FFH-19, FFJ-32, FBF-30, FBF-31, FBF-32, FBF-33, FFH-20, FFJ-33, FFJ-34, FBF-34, FBN-25, FFH-21, FBF-35, FBF-36, FAR-06, FBF-29, FFJ-30, FFJ-31, FBN-24</x:v>
      </x:c>
      <x:c r="G18" s="862" t="str">
        <x:v>운영·주간 생성·구독 정책</x:v>
      </x:c>
      <x:c r="H18" s="862" t="str">
        <x:v>결제·구독은 데모 제외, 알림은 앱 내 데모 범위, 백업 종류별 보존·삭제·복원 책임과 P06·P07·P10·P12를 정한다.</x:v>
      </x:c>
      <x:c r="I18" s="862" t="str">
        <x:v>실결제 도입은 PG 계약·승인 후 별도 결정</x:v>
      </x:c>
    </x:row>
    <x:row r="19" ht="100" customHeight="1">
      <x:c r="A19" s="860" t="str">
        <x:v>WBS-1.12</x:v>
      </x:c>
      <x:c r="B19" s="861" t="str">
        <x:v>착수·주제 검토·요구사항 확정</x:v>
      </x:c>
      <x:c r="C19" s="862" t="str">
        <x:v>범위·우선순위·일정 검토</x:v>
      </x:c>
      <x:c r="D19" s="862" t="str">
        <x:f>'시트1'!D23&amp;CHAR(10)&amp;"협업: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19" s="862" t="str">
        <x:v>WBS-1.3, WBS-1.8, WBS-1.9, WBS-1.10, WBS-1.11</x:v>
      </x:c>
      <x:c r="F19" s="862" t="str">
        <x:v>기획·관리 작업</x:v>
      </x:c>
      <x:c r="G19" s="862" t="str">
        <x:v>범위표·일정 초안·역할 배정안</x:v>
      </x:c>
      <x:c r="H19" s="862" t="str">
        <x:v>12/7까지 데모 계정·35미션·M2 우선·4종 평가셋·신규 기록/추천을 채택하고 결제·STT·sLLM·64미션 확장을 분리한다. 담당별 가용시간은 별도 확인한다.</x:v>
      </x:c>
      <x:c r="I19" s="862" t="str">
        <x:v>확정 담당 배정은 유지. S08의 10/22 주제 미정 기록은 과거 상태로 보존하고 현재 사용자 결정인 사고뭉치 진행을 적용한다. S09 확장 제안은 채택·보류 판단 및 작업량 검토 필요.</x:v>
      </x:c>
    </x:row>
    <x:row r="20" ht="100" customHeight="1">
      <x:c r="A20" s="860" t="str">
        <x:v>WBS-2.10</x:v>
      </x:c>
      <x:c r="B20" s="861" t="str">
        <x:v>화면·데이터·연동 설계</x:v>
      </x:c>
      <x:c r="C20" s="862" t="str">
        <x:v>교육 지표·집계·모델 공개 계약 확정</x:v>
      </x:c>
      <x:c r="D20" s="862" t="str">
        <x:f>'시트1'!D25&amp;CHAR(10)&amp;"협업: 김동섭, 김재현, 최인영"&amp;CHAR(10)&amp;"전반 관리: 김태윤(PM), 김동섭(APM)"</x:f>
        <x:v>최성욱
협업: 김동섭, 김재현, 최인영
전반 관리: 김태윤(PM), 김동섭(APM)</x:v>
      </x:c>
      <x:c r="E20" s="862" t="str">
        <x:v>WBS-1.7</x:v>
      </x:c>
      <x:c r="F20" s="862" t="str">
        <x:v>FAC-01, FAC-08, FAC-09, FBF-16, FAC-11, FAR-08</x:v>
      </x:c>
      <x:c r="G20" s="862" t="str">
        <x:v>지표 사전·분모/비교 키·공개 범위</x:v>
      </x:c>
      <x:c r="H20" s="862" t="str">
        <x:v>요소 있음/없음·M2 점수·행동 집계를 분리한다. 단일 미션은 요소 수로 표시하고 비율은 동일 유형/학년군의 유효5건 이상에 적용하는 계획을 정한다. 분모0·삭제·보류·실패·버전 변경을 명시한다.</x:v>
      </x:c>
      <x:c r="I20" s="862" t="str">
        <x:v>미측정 교육 효과·직접 작성 증명·능력 등급을 표시하지 않는다. P08에 구현 기준으로 반영.</x:v>
      </x:c>
    </x:row>
    <x:row r="21" ht="100" customHeight="1">
      <x:c r="A21" s="860" t="str">
        <x:v>WBS-2.12</x:v>
      </x:c>
      <x:c r="B21" s="861" t="str">
        <x:v>화면·데이터·연동 설계</x:v>
      </x:c>
      <x:c r="C21" s="862" t="str">
        <x:v>평가셋·채점 지침·독립 평가 설계</x:v>
      </x:c>
      <x:c r="D21" s="862" t="str">
        <x:f>'시트1'!D26&amp;CHAR(10)&amp;"협업: 황수빈, 김재현, 최성욱, 김동섭"&amp;CHAR(10)&amp;"전반 관리: 김태윤(PM), 김동섭(APM)"</x:f>
        <x:v>김태윤
협업: 황수빈, 김재현, 최성욱, 김동섭
전반 관리: 김태윤(PM), 김동섭(APM)</x:v>
      </x:c>
      <x:c r="E21" s="862" t="str">
        <x:v>WBS-1.7</x:v>
      </x:c>
      <x:c r="F21" s="862" t="str">
        <x:v>FAD-07, FAR-07, FAR-02, FAR-05</x:v>
      </x:c>
      <x:c r="G21" s="862" t="str">
        <x:v>4종 평가셋/가상기록 명세·채점 지침</x:v>
      </x:c>
      <x:c r="H21" s="862" t="str">
        <x:v>대표5미션×20답안·되묻기100~200쌍·질문50개·리포트20개와 가상5~10명×4주를 구분한다. 사람2인·QWK/카파·보정30~50개·미달 경로·검증 범위를 정한다.</x:v>
      </x:c>
      <x:c r="I21" s="862" t="str">
        <x:v>김태윤·황수빈 독립 판정, 김재현 모델, 최성욱 출력 검증, 김동섭 콘텐츠 검수. 표본 제작/라벨 준비와 최종 실행을 분리.</x:v>
      </x:c>
    </x:row>
    <x:row r="22" ht="100" customHeight="1">
      <x:c r="A22" s="860" t="str">
        <x:v>WBS-2.14</x:v>
      </x:c>
      <x:c r="B22" s="861" t="str">
        <x:v>화면·데이터·연동 설계</x:v>
      </x:c>
      <x:c r="C22" s="862" t="str">
        <x:v>후보 모델 사용조건·대체 기준선 확정</x:v>
      </x:c>
      <x:c r="D22" s="862" t="str">
        <x:f>'시트1'!D27&amp;CHAR(10)&amp;"협업: 김동섭, 최성욱"&amp;CHAR(10)&amp;"전반 관리: 김태윤(PM), 김동섭(APM)"</x:f>
        <x:v>김재현
협업: 김동섭, 최성욱
전반 관리: 김태윤(PM), 김동섭(APM)</x:v>
      </x:c>
      <x:c r="E22" s="862" t="str">
        <x:v>WBS-1.7</x:v>
      </x:c>
      <x:c r="F22" s="862" t="str">
        <x:v>FBN-26, FAC-13, FAR-05</x:v>
      </x:c>
      <x:c r="G22" s="862" t="str">
        <x:v>모델/가중치 사용조건 근거·선정·보류표</x:v>
      </x:c>
      <x:c r="H22" s="862" t="str">
        <x:v>klue/roberta와 xlm-roberta-base의 모델 카드·가중치/원저장소·학습/배포 조건·모델 리비전을 대조하고 학습 전 허용 범위를 기록한다. xlm-roberta-base 파인튜닝을 기준선에 포함한다.</x:v>
      </x:c>
      <x:c r="I22" s="862" t="str">
        <x:v>PDF의 라이선스 표기는 확인 출발점이며 적합성 확정이 아니다. 미확인 후보는 학습·배포 보류, 학습 자원/상한을10/30 합의. 범위 조정은 김동섭.</x:v>
      </x:c>
    </x:row>
    <x:row r="23" ht="116" customHeight="1">
      <x:c r="A23" s="860" t="str">
        <x:v>WBS-2.11</x:v>
      </x:c>
      <x:c r="B23" s="861" t="str">
        <x:v>화면·데이터·연동 설계</x:v>
      </x:c>
      <x:c r="C23" s="862" t="str">
        <x:v>쓰기 집계·추천·성장 화면 API 명세</x:v>
      </x:c>
      <x:c r="D23" s="862" t="str">
        <x:f>'시트1'!D28&amp;CHAR(10)&amp;"협업: 최성욱, 황수빈"&amp;CHAR(10)&amp;"전반 관리: 김태윤(PM), 김동섭(APM)"</x:f>
        <x:v>최인영
협업: 최성욱, 황수빈
전반 관리: 김태윤(PM), 김동섭(APM)</x:v>
      </x:c>
      <x:c r="E23" s="862" t="str">
        <x:v>WBS-1.8</x:v>
      </x:c>
      <x:c r="F23" s="862" t="str">
        <x:v>FBF-39, FBF-38, FFJ-41, FFJ-42, FFH-22, FAC-17, FBF-40, FAD-08, FAC-18</x:v>
      </x:c>
      <x:c r="G23" s="862" t="str">
        <x:v>문항·힌트·추천·집계 API/이벤트 명세</x:v>
      </x:c>
      <x:c r="H23" s="862" t="str">
        <x:v>missions.question_type/answer_key/hints/source/status, observations.choice_result/hint_step, recommendations.student_id/candidates/chosen_mission_id/reason_element/created_at를 명세한다. writing 집계·이벤트 키/버전·재시도·권한/삭제와 연결한다.</x:v>
      </x:c>
      <x:c r="I23" s="862" t="str">
        <x:v>서버에서 문항종류·힌트단계·선택후보/근거를 검증하고 클라이언트 값만 신뢰하지 않는다. enum/자동검사 상한·학년별 길이는10/30 김동섭 조정. 기록0/미수집·원문 키 미저장 유지.</x:v>
      </x:c>
    </x:row>
    <x:row r="24" ht="100" customHeight="1">
      <x:c r="A24" s="860" t="str">
        <x:v>WBS-2.1</x:v>
      </x:c>
      <x:c r="B24" s="861" t="str">
        <x:v>화면·데이터·연동 설계</x:v>
      </x:c>
      <x:c r="C24" s="862" t="str">
        <x:v>세 역할의 화면·사용 흐름 설계</x:v>
      </x:c>
      <x:c r="D24" s="862" t="str">
        <x:f>'시트1'!D29&amp;CHAR(10)&amp;"협업: 김태윤, 최인영, 최성욱"&amp;CHAR(10)&amp;"전반 관리: 김태윤(PM), 김동섭(APM)"</x:f>
        <x:v>황수빈
협업: 김태윤, 최인영, 최성욱
전반 관리: 김태윤(PM), 김동섭(APM)</x:v>
      </x:c>
      <x:c r="E24" s="862" t="str">
        <x:v>WBS-1.12</x:v>
      </x:c>
      <x:c r="F24" s="862" t="str">
        <x:v>FFJ-03, FFJ-04, FFJ-05, FFJ-06, FFJ-07, FFJ-08, FFJ-09, FFJ-10, FFJ-11, FFH-05, FFJ-21, FFH-06, FFH-07, FBN-07, FFH-08, FFH-09, FFH-10, FFJ-22, FFJ-23, FBN-08, FFH-11, FFH-12, FFH-13, FFJ-24, FBF-18</x:v>
      </x:c>
      <x:c r="G24" s="862" t="str">
        <x:v>화면 흐름도·와이어프레임</x:v>
      </x:c>
      <x:c r="H24" s="862" t="str">
        <x:v>학생·학부모·관리자의 진입, 닫힌/열린 분기, 학년별 상한, 저장 실패·보류·재접속과 신규 성장 지도·추천·저녁 질문의 화면 ID를 연결한다.</x:v>
      </x:c>
      <x:c r="I24" s="862" t="str">
        <x:v>정상 흐름과 빈 기록·권한 거부를 함께 설계</x:v>
      </x:c>
    </x:row>
    <x:row r="25" ht="100" customHeight="1">
      <x:c r="A25" s="860" t="str">
        <x:v>WBS-2.2</x:v>
      </x:c>
      <x:c r="B25" s="861" t="str">
        <x:v>화면·데이터·연동 설계</x:v>
      </x:c>
      <x:c r="C25" s="862" t="str">
        <x:v>공개 API·연동 계약 설계</x:v>
      </x:c>
      <x:c r="D25" s="862" t="str">
        <x:f>'시트1'!D30&amp;CHAR(10)&amp;"협업: 최성욱, 김재현, 황수빈"&amp;CHAR(10)&amp;"전반 관리: 김태윤(PM), 김동섭(APM)"</x:f>
        <x:v>최인영
협업: 최성욱, 김재현, 황수빈
전반 관리: 김태윤(PM), 김동섭(APM)</x:v>
      </x:c>
      <x:c r="E25" s="862" t="str">
        <x:v>WBS-1.12</x:v>
      </x:c>
      <x:c r="F25" s="862" t="str">
        <x:v>기획·관리 작업</x:v>
      </x:c>
      <x:c r="G25" s="862" t="str">
        <x:v>입출력·오류·상태 계약</x:v>
      </x:c>
      <x:c r="H25" s="862" t="str">
        <x:v>화면→서버→AI→기록의 요청/응답·오류·버전·재시도 계약을 정한다. 쓰기 집계 이벤트와 추천·평가 승인 범위를 포함한다.</x:v>
      </x:c>
      <x:c r="I25" s="862" t="str">
        <x:v>결제 PG 계약은 확장으로 분리. 후속 작업은 고정 API 계약으로 병행 구현하고 전체 연결은 3.32에서 마감.</x:v>
      </x:c>
    </x:row>
    <x:row r="26" ht="100" customHeight="1">
      <x:c r="A26" s="860" t="str">
        <x:v>WBS-2.3</x:v>
      </x:c>
      <x:c r="B26" s="861" t="str">
        <x:v>화면·데이터·연동 설계</x:v>
      </x:c>
      <x:c r="C26" s="862" t="str">
        <x:v>학습·대화·거래 기록 설계</x:v>
      </x:c>
      <x:c r="D26" s="862" t="str">
        <x:f>'시트1'!D31&amp;CHAR(10)&amp;"협업: 최성욱"&amp;CHAR(10)&amp;"전반 관리: 김태윤(PM), 김동섭(APM)"</x:f>
        <x:v>최인영
협업: 최성욱
전반 관리: 김태윤(PM), 김동섭(APM)</x:v>
      </x:c>
      <x:c r="E26" s="862" t="str">
        <x:v>WBS-1.12, WBS-3.47</x:v>
      </x:c>
      <x:c r="F26" s="862" t="str">
        <x:v>FAD-05, FAC-11, FBN-11, FBF-20, FBF-39, FBF-38, FAD-07, FAD-08, FBF-40, FAC-18</x:v>
      </x:c>
      <x:c r="G26" s="862" t="str">
        <x:v>ERD·답변 버전·근거 연결 설계</x:v>
      </x:c>
      <x:c r="H26" s="862" t="str">
        <x:v>학습 시도·답변 버전·근거·writing session·추천 이력·평가셋/승인 범위의 키와 삭제·복원 관계를 정한다. 시간대·기준표·judge_version을 보존한다.</x:v>
      </x:c>
      <x:c r="I26" s="862" t="str">
        <x:v>실제 아동 정보와 학습 원본의 반입 제한 반영</x:v>
      </x:c>
    </x:row>
    <x:row r="27" ht="100" customHeight="1">
      <x:c r="A27" s="860" t="str">
        <x:v>WBS-2.4</x:v>
      </x:c>
      <x:c r="B27" s="861" t="str">
        <x:v>화면·데이터·연동 설계</x:v>
      </x:c>
      <x:c r="C27" s="862" t="str">
        <x:v>미션·기준표·예시 답 설계</x:v>
      </x:c>
      <x:c r="D27" s="862" t="str">
        <x:f>'시트1'!D32&amp;CHAR(10)&amp;"협업: 최성욱, 황수빈"&amp;CHAR(10)&amp;"전반 관리: 김태윤(PM), 김동섭(APM)"</x:f>
        <x:v>김동섭
협업: 최성욱, 황수빈
전반 관리: 김태윤(PM), 김동섭(APM)</x:v>
      </x:c>
      <x:c r="E27" s="862" t="str">
        <x:v>WBS-1.9, WBS-3.47</x:v>
      </x:c>
      <x:c r="F27" s="862" t="str">
        <x:v>FFH-14, FAD-03, FAD-04, FBN-09, FBF-19, FBN-10, FAD-05</x:v>
      </x:c>
      <x:c r="G27" s="862" t="str">
        <x:v>35미션 목록·요소표·성취기준/성취수준 연결</x:v>
      </x:c>
      <x:c r="H27" s="862" t="str">
        <x:v>성취기준790개 수집본을 근거로35개 미션의 코드1개 이상·성취수준·학년/교과/행동·유형·요소2~3개·문항종류·정답/다른답/힌트·검수 상태를 명세한다. 기존10개 재태깅을 반영하고 대표검증5개를 구분한다.</x:v>
      </x:c>
      <x:c r="I27" s="862" t="str">
        <x:v>현재10개는 작성자 보고이며 현행 버전·검수 상태를 대조한다. 최소64개는 데모 이후. 대표5개 통과를 35개 전체 승인으로 복사하지 않는다.</x:v>
      </x:c>
    </x:row>
    <x:row r="28" ht="100" customHeight="1">
      <x:c r="A28" s="860" t="str">
        <x:v>WBS-2.5</x:v>
      </x:c>
      <x:c r="B28" s="861" t="str">
        <x:v>화면·데이터·연동 설계</x:v>
      </x:c>
      <x:c r="C28" s="862" t="str">
        <x:v>학습 데이터·분할 계획 준비</x:v>
      </x:c>
      <x:c r="D28" s="862" t="str">
        <x:f>'시트1'!D33&amp;CHAR(10)&amp;"협업: 김동섭"&amp;CHAR(10)&amp;"전반 관리: 김태윤(PM), 김동섭(APM)"</x:f>
        <x:v>김재현
협업: 김동섭
전반 관리: 김태윤(PM), 김동섭(APM)</x:v>
      </x:c>
      <x:c r="E28" s="862" t="str">
        <x:v>WBS-1.10, WBS-1.6</x:v>
      </x:c>
      <x:c r="F28" s="862" t="str">
        <x:v>FAC-13, FAC-14, FAC-15, FAC-16</x:v>
      </x:c>
      <x:c r="G28" s="862" t="str">
        <x:v>데이터 구조·문항 그룹 분할 계획</x:v>
      </x:c>
      <x:c r="H28" s="862" t="str">
        <x:v>데이터셋별 문항/답안/학습 행 수·버전·이용 조건을 구분한다. 71716은 그룹 중복으로 재분할하고 다른 데이터셋은 중복 점검 후 분할한다.</x:v>
      </x:c>
      <x:c r="I28" s="862" t="str">
        <x:v>AI Hub 합계144,805는 서로 다른 집계 단위이므로 학습 표본 수로 쓰지 않는다. 서비스 미션은 자체 제작.</x:v>
      </x:c>
    </x:row>
    <x:row r="29" ht="100" customHeight="1">
      <x:c r="A29" s="860" t="str">
        <x:v>WBS-2.7</x:v>
      </x:c>
      <x:c r="B29" s="861" t="str">
        <x:v>화면·데이터·연동 설계</x:v>
      </x:c>
      <x:c r="C29" s="862" t="str">
        <x:v>배포·관측·복구 설계</x:v>
      </x:c>
      <x:c r="D29" s="862" t="str">
        <x:f>'시트1'!D34&amp;CHAR(10)&amp;"협업: 김태윤, 최인영, 김재현, 최성욱"&amp;CHAR(10)&amp;"전반 관리: 김태윤(PM), 김동섭(APM)"</x:f>
        <x:v>김동섭
협업: 김태윤, 최인영, 김재현, 최성욱
전반 관리: 김태윤(PM), 김동섭(APM)</x:v>
      </x:c>
      <x:c r="E29" s="862" t="str">
        <x:v>WBS-1.11</x:v>
      </x:c>
      <x:c r="F29" s="862" t="str">
        <x:v>FBN-13, FBN-14, FBN-15, FBN-16, FBN-17, FBN-18, FBN-19, FBN-20, FAC-12, FAR-05, FBN-21, FBN-22, FBN-23</x:v>
      </x:c>
      <x:c r="G29" s="862" t="str">
        <x:v>Docker·EC2·RDS·S3 배포·백업·복구 설계</x:v>
      </x:c>
      <x:c r="H29" s="862" t="str">
        <x:v>RDS 자동 백업7일·배포/마이그레이션 전 스냅샷·주1회 S3 덤프와 각각의 보존/삭제, 복구 목표·삭제 기록 재노출 방지·담당자를 정한다.</x:v>
      </x:c>
      <x:c r="I29" s="862" t="str">
        <x:v>Kubernetes·실결제·실제 아동 가입은 데모 범위에서 제외. RunPod 준비·접속·비용·비밀 관리 포함. 복원 실행은 4.5.</x:v>
      </x:c>
    </x:row>
    <x:row r="30" ht="100" customHeight="1">
      <x:c r="A30" s="860" t="str">
        <x:v>WBS-2.6</x:v>
      </x:c>
      <x:c r="B30" s="861" t="str">
        <x:v>화면·데이터·연동 설계</x:v>
      </x:c>
      <x:c r="C30" s="862" t="str">
        <x:v>인증·권한·동의 설계</x:v>
      </x:c>
      <x:c r="D30" s="862" t="str">
        <x:f>'시트1'!D35&amp;CHAR(10)&amp;"협업: 김태윤"&amp;CHAR(10)&amp;"전반 관리: 김태윤(PM), 김동섭(APM)"</x:f>
        <x:v>최인영
협업: 김태윤
전반 관리: 김태윤(PM), 김동섭(APM)</x:v>
      </x:c>
      <x:c r="E30" s="862" t="str">
        <x:v>WBS-1.8, WBS-2.2, WBS-2.3</x:v>
      </x:c>
      <x:c r="F30" s="862" t="str">
        <x:v>FFJ-01, FBF-01, FBF-02, FBF-03, FFJ-02, FBN-01, FBN-02, FBF-04, FFJ-25, FBF-21, FBN-12, FFJ-29, FBF-26, FBF-27</x:v>
      </x:c>
      <x:c r="G30" s="862" t="str">
        <x:v>인증·자녀 연결·동의 상태 설계</x:v>
      </x:c>
      <x:c r="H30" s="862" t="str">
        <x:v>자녀 범위 확인과 관리자 승인·탈퇴 절차를 정한다.</x:v>
      </x:c>
      <x:c r="I30" s="862" t="str">
        <x:v>사용자·관리자·외부 도구의 조회 범위를 동일하게 제한</x:v>
      </x:c>
    </x:row>
    <x:row r="31" ht="100" customHeight="1">
      <x:c r="A31" s="860" t="str">
        <x:v>WBS-2.9</x:v>
      </x:c>
      <x:c r="B31" s="861" t="str">
        <x:v>화면·데이터·연동 설계</x:v>
      </x:c>
      <x:c r="C31" s="862" t="str">
        <x:v>최종 검증·평가 기준 설계</x:v>
      </x:c>
      <x:c r="D31" s="862" t="str">
        <x:f>'시트1'!D36&amp;CHAR(10)&amp;"협업: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31" s="862" t="str">
        <x:v>WBS-2.1, WBS-2.2, WBS-2.3, WBS-2.4, WBS-2.5, WBS-2.10, WBS-2.12, WBS-2.14</x:v>
      </x:c>
      <x:c r="F31" s="862" t="str">
        <x:v>FAR-01, FAR-02, FAR-03, FAR-04, FAR-05, FAR-06</x:v>
      </x:c>
      <x:c r="G31" s="862" t="str">
        <x:v>검증 시나리오·평가표·실행 구분</x:v>
      </x:c>
      <x:c r="H31" s="862" t="str">
        <x:v>10/30까지 기존 기준선에 xlm-roberta-base 파인튜닝을 포함해 모델 리비전·동일 분할/지표·허용치·자원 상한을 고정한다. 대표5미션100답안, 시범풀이는35개×3~5답, 초1~2 건수 전용 집계를 별도 계획한다.</x:v>
      </x:c>
      <x:c r="I31" s="862" t="str">
        <x:v>학습 전 기준을 고정한다. 구현 중 서비스 시험은 실행하지 않고 11/18 구현·설정·테스트 코드 마감 후 일괄 실행. 11/22는 준비 검토, 활성화 승인 아님.</x:v>
      </x:c>
    </x:row>
    <x:row r="32" ht="100" customHeight="1">
      <x:c r="A32" s="860" t="str">
        <x:v>WBS-2.13</x:v>
      </x:c>
      <x:c r="B32" s="861" t="str">
        <x:v>화면·데이터·연동 설계</x:v>
      </x:c>
      <x:c r="C32" s="862" t="str">
        <x:v>문서·범위·담당·제출 추적 확정</x:v>
      </x:c>
      <x:c r="D32" s="862" t="str">
        <x:f>'시트1'!D37&amp;CHAR(10)&amp;"협업: 김태윤, 최인영, 최성욱, 김재현, 황수빈"&amp;CHAR(10)&amp;"전반 관리: 김태윤(PM), 김동섭(APM)"</x:f>
        <x:v>김동섭
협업: 김태윤, 최인영, 최성욱, 김재현, 황수빈
전반 관리: 김태윤(PM), 김동섭(APM)</x:v>
      </x:c>
      <x:c r="E32" s="862" t="str">
        <x:v>WBS-2.1, WBS-2.2, WBS-2.3, WBS-2.4, WBS-2.7, WBS-2.9, WBS-2.14</x:v>
      </x:c>
      <x:c r="F32" s="862" t="str">
        <x:v>기획·관리 작업</x:v>
      </x:c>
      <x:c r="G32" s="862" t="str">
        <x:v>요구사항→화면/API/데이터→작업→검증 대응</x:v>
      </x:c>
      <x:c r="H32" s="862" t="str">
        <x:v>v4 PDF와 요구사항v0.5·WBS의 코드/필드/화면/API/담당/검증을 연결한다.790개는 수집보고·정리/태깅·원문대조 상태를 구분하고 라이선스 미확인·길이/재생성 상한은 김동섭이 조정한다. 기존 승인 일정/과거 이력/보류 구분을 보존한다.</x:v>
      </x:c>
      <x:c r="I32" s="862" t="str">
        <x:v>역할 경계 불명확 항목의 조정 책임은 사용자 김동섭. 완료율은 추가 검토로 기존 산식을 유지. 공식 제출 마감은 임의 변경하지 않음.</x:v>
      </x:c>
    </x:row>
    <x:row r="33" ht="100" customHeight="1">
      <x:c r="A33" s="860" t="str">
        <x:v>WBS-3.47</x:v>
      </x:c>
      <x:c r="B33" s="861" t="str">
        <x:v>기능·콘텐츠·모델 구현</x:v>
      </x:c>
      <x:c r="C33" s="862" t="str">
        <x:v>성취기준790개 수집본 정리·기존10미션 재태깅</x:v>
      </x:c>
      <x:c r="D33" s="862" t="str">
        <x:f>'시트1'!D39&amp;CHAR(10)&amp;"협업: 최성욱, 최인영"&amp;CHAR(10)&amp;"전반 관리: 김태윤(PM), 김동섭(APM)"</x:f>
        <x:v>김동섭
협업: 최성욱, 최인영
전반 관리: 김태윤(PM), 김동섭(APM)</x:v>
      </x:c>
      <x:c r="E33" s="862" t="str">
        <x:v>WBS-1.6</x:v>
      </x:c>
      <x:c r="F33" s="862" t="str">
        <x:v>FAD-08, FAD-03, FAD-04</x:v>
      </x:c>
      <x:c r="G33" s="862" t="str">
        <x:v>성취기준/성취수준 목록·원문/버전·10미션 매핑</x:v>
      </x:c>
      <x:c r="H33" s="862" t="str">
        <x:v>문서상 수집 완료790개를 다시 수집하는 대신 수집본 위치·출처·버전·중복/누락·이용 조건을 확인하고 구조화한다. 코드가 비어 있는 기존10개 미션에 코드1개 이상을 연결하고 학년·과목·동사를 재검토한다.</x:v>
      </x:c>
      <x:c r="I33" s="862" t="str">
        <x:v>790개는 작성자 보고 수치이며 원문 대조/서비스 적재/태깅 완료와 구분한다. 컵 물방울의[4과10-02]는 검토 예시이지 자동 확정값이 아니다. 결과는2.4 설계에 인계.</x:v>
      </x:c>
    </x:row>
    <x:row r="34" ht="100" customHeight="1">
      <x:c r="A34" s="860" t="str">
        <x:v>WBS-3.29</x:v>
      </x:c>
      <x:c r="B34" s="861" t="str">
        <x:v>기능·콘텐츠·모델 구현</x:v>
      </x:c>
      <x:c r="C34" s="862" t="str">
        <x:v>M1 수학 비교 실험</x:v>
      </x:c>
      <x:c r="D34" s="862" t="str">
        <x:f>'시트1'!D40&amp;CHAR(10)&amp;"협업: 최성욱"&amp;CHAR(10)&amp;"전반 관리: 김태윤(PM), 김동섭(APM)"</x:f>
        <x:v>김재현
협업: 최성욱
전반 관리: 김태윤(PM), 김동섭(APM)</x:v>
      </x:c>
      <x:c r="E34" s="862" t="str">
        <x:v>WBS-2.5, WBS-1.10</x:v>
      </x:c>
      <x:c r="F34" s="862" t="str">
        <x:v>FAC-15</x:v>
      </x:c>
      <x:c r="G34" s="862" t="str">
        <x:v>M1 전처리·비교 후보</x:v>
      </x:c>
      <x:c r="H34" s="862" t="str">
        <x:v>기존 M1 EDA/초기 결과와10/29~31 빠른 학습 기준선 실험을 구분하여11/1 선택 근거를 준비한다. 데이터·분할·설정·한계를 기록한다.</x:v>
      </x:c>
      <x:c r="I34" s="862" t="str">
        <x:v>비교용 학습 실험이며 최종 서비스 검증이 아님. 11/1 이후 신규 M1 개발은 별도 범위 승인, M2 일정의 필수 선행조건으로 묶지 않는다.</x:v>
      </x:c>
    </x:row>
    <x:row r="35" ht="100" customHeight="1">
      <x:c r="A35" s="860" t="str">
        <x:v>WBS-3.33</x:v>
      </x:c>
      <x:c r="B35" s="861" t="str">
        <x:v>기능·콘텐츠·모델 구현</x:v>
      </x:c>
      <x:c r="C35" s="862" t="str">
        <x:v>학습 데이터 정제·전처리 결과 정리</x:v>
      </x:c>
      <x:c r="D35" s="862" t="str">
        <x:f>'시트1'!D41&amp;CHAR(10)&amp;"협업: 김동섭, 최성욱"&amp;CHAR(10)&amp;"전반 관리: 김태윤(PM), 김동섭(APM)"</x:f>
        <x:v>김재현
협업: 김동섭, 최성욱
전반 관리: 김태윤(PM), 김동섭(APM)</x:v>
      </x:c>
      <x:c r="E35" s="862" t="str">
        <x:v>WBS-2.5</x:v>
      </x:c>
      <x:c r="F35" s="862" t="str">
        <x:v>기획·관리 작업</x:v>
      </x:c>
      <x:c r="G35" s="862" t="str">
        <x:v>정제 데이터·전처리 코드·결과서</x:v>
      </x:c>
      <x:c r="H35" s="862" t="str">
        <x:v>그룹 중복·라벨·결측·스키마와 데이터별 문항/답안/학습 행 단위를 정리하여 학습용 표와 분할 명세를 구현한다. 원본·가공본 반입 제한을 지킨다.</x:v>
      </x:c>
      <x:c r="I35" s="862" t="str">
        <x:v>S12·S13: 전처리 결과서 11/06 제출. M2 학습은 전처리 완료 뒤 11/04 착수. 데이터 확보 범위와 이용 제한 유지.</x:v>
      </x:c>
    </x:row>
    <x:row r="36" ht="100" customHeight="1">
      <x:c r="A36" s="860" t="str">
        <x:v>WBS-3.1</x:v>
      </x:c>
      <x:c r="B36" s="861" t="str">
        <x:v>기능·콘텐츠·모델 구현</x:v>
      </x:c>
      <x:c r="C36" s="862" t="str">
        <x:v>개발 환경·서버 기본 구성</x:v>
      </x:c>
      <x:c r="D36" s="862" t="str">
        <x:f>'시트1'!D42&amp;CHAR(10)&amp;"협업: 김동섭"&amp;CHAR(10)&amp;"전반 관리: 김태윤(PM), 김동섭(APM)"</x:f>
        <x:v>최인영
협업: 김동섭
전반 관리: 김태윤(PM), 김동섭(APM)</x:v>
      </x:c>
      <x:c r="E36" s="862" t="str">
        <x:v>WBS-2.2, WBS-2.3, WBS-2.6, WBS-2.7</x:v>
      </x:c>
      <x:c r="F36" s="862" t="str">
        <x:v>FBN-13</x:v>
      </x:c>
      <x:c r="G36" s="862" t="str">
        <x:v>개발·검증 환경과 서버 구성</x:v>
      </x:c>
      <x:c r="H36" s="862" t="str">
        <x:v>환경 설정과 비밀 정보 분리를 구현한다.</x:v>
      </x:c>
      <x:c r="I36" s="862" t="str">
        <x:v>실제 동작 검증은 4단계에 모아 수행</x:v>
      </x:c>
    </x:row>
    <x:row r="37" ht="102" customHeight="1">
      <x:c r="A37" s="860" t="str">
        <x:v>WBS-3.34</x:v>
      </x:c>
      <x:c r="B37" s="861" t="str">
        <x:v>기능·콘텐츠·모델 구현</x:v>
      </x:c>
      <x:c r="C37" s="862" t="str">
        <x:v>DB 스키마·DDL·저장소 명세 작성</x:v>
      </x:c>
      <x:c r="D37" s="862" t="str">
        <x:f>'시트1'!D43&amp;CHAR(10)&amp;"협업: 최성욱, 김동섭"&amp;CHAR(10)&amp;"전반 관리: 김태윤(PM), 김동섭(APM)"</x:f>
        <x:v>최인영
협업: 최성욱, 김동섭
전반 관리: 김태윤(PM), 김동섭(APM)</x:v>
      </x:c>
      <x:c r="E37" s="862" t="str">
        <x:v>WBS-2.3</x:v>
      </x:c>
      <x:c r="F37" s="862" t="str">
        <x:v>FAD-08, FBF-40, FBF-38, FAC-18</x:v>
      </x:c>
      <x:c r="G37" s="862" t="str">
        <x:v>ERD·DDL·테이블 명세·저장소 설계서</x:v>
      </x:c>
      <x:c r="H37" s="862" t="str">
        <x:v>missions.question_type/answer_key/hints/source/status·관찰 choice_result/hint_step·recommendations와 성취기준/성취수준 수집본 키를 스키마/DDL/마이그레이션으로 구현한다. 기존 답변/근거를 덮어쓰지 않고 미수집/null·유니크/외래키·삭제 영향을 문서화한다.</x:v>
      </x:c>
      <x:c r="I37" s="862" t="str">
        <x:v>S12·S13: DB/저장소 설계 문서 11/06 제출. 이후 계정·학습·거래 구현이 이 결과를 사용.</x:v>
      </x:c>
    </x:row>
    <x:row r="38" ht="100" customHeight="1">
      <x:c r="A38" s="860" t="str">
        <x:v>WBS-3.43</x:v>
      </x:c>
      <x:c r="B38" s="861" t="str">
        <x:v>기능·콘텐츠·모델 구현</x:v>
      </x:c>
      <x:c r="C38" s="862" t="str">
        <x:v>자체 평가셋·가상 시나리오 원고 준비</x:v>
      </x:c>
      <x:c r="D38" s="862" t="str">
        <x:f>'시트1'!D44&amp;CHAR(10)&amp;"협업: 황수빈, 김동섭, 최성욱"&amp;CHAR(10)&amp;"전반 관리: 김태윤(PM), 김동섭(APM)"</x:f>
        <x:v>김태윤
협업: 황수빈, 김동섭, 최성욱
전반 관리: 김태윤(PM), 김동섭(APM)</x:v>
      </x:c>
      <x:c r="E38" s="862" t="str">
        <x:v>WBS-2.12, WBS-2.4</x:v>
      </x:c>
      <x:c r="F38" s="862" t="str">
        <x:v>FAD-07, FAR-07, FAR-01</x:v>
      </x:c>
      <x:c r="G38" s="862" t="str">
        <x:v>4종 평가 입력·기대값·판정 서식</x:v>
      </x:c>
      <x:c r="H38" s="862" t="str">
        <x:v>대표5미션×20개는 팀원 예시 답안으로 작성하고 되묻기100~200쌍의 입력/평가 지침, 질문50개·리포트20개의 기대값과4주 가상기록 원고를 준비한다.</x:v>
      </x:c>
      <x:c r="I38" s="862" t="str">
        <x:v>현재 포함은10/25 사용자 승인. 과거 노션 제외 기록은 이력. 실제 출력 라벨링·점수 측정은4.2/4.11에서 수행.</x:v>
      </x:c>
    </x:row>
    <x:row r="39" ht="100" customHeight="1">
      <x:c r="A39" s="860" t="str">
        <x:v>WBS-3.48</x:v>
      </x:c>
      <x:c r="B39" s="861" t="str">
        <x:v>기능·콘텐츠·모델 구현</x:v>
      </x:c>
      <x:c r="C39" s="862" t="str">
        <x:v>성취기준 기반 미션 초안·자동 검사 구현</x:v>
      </x:c>
      <x:c r="D39" s="862" t="str">
        <x:f>'시트1'!D45&amp;CHAR(10)&amp;"협업: 김동섭, 최인영"&amp;CHAR(10)&amp;"전반 관리: 김태윤(PM), 김동섭(APM)"</x:f>
        <x:v>최성욱
협업: 김동섭, 최인영
전반 관리: 김태윤(PM), 김동섭(APM)</x:v>
      </x:c>
      <x:c r="E39" s="862" t="str">
        <x:v>WBS-2.4, WBS-2.2, WBS-3.47</x:v>
      </x:c>
      <x:c r="F39" s="862" t="str">
        <x:v>FAC-18, FAD-08, FAD-04, FBN-09</x:v>
      </x:c>
      <x:c r="G39" s="862" t="str">
        <x:v>초안 생성·공통 질문 검사·실패/재생성 코드</x:v>
      </x:c>
      <x:c r="H39" s="862" t="str">
        <x:v>코드/성취수준을 입력해 장면·질문·요소2~3개·금지어·다른 정답·예시를 고정 스키마로 생성한다. 필수값/코드 실재/정답·금지어 누출/학년별 길이 검사를 구현하고 실패 이유·시도 횟수를 남긴다.</x:v>
      </x:c>
      <x:c r="I39" s="862" t="str">
        <x:v>미션 생성과 되묻기는 같은 질문 검사 규칙을 사용한다. 자동 통과가 공개 승인은 아니며 김동섭이 승인·수정·반려한다. 상한 도달은 반려/실패로 표시. 서비스 시험/시범풀이는4단계.</x:v>
      </x:c>
    </x:row>
    <x:row r="40" ht="100" customHeight="1">
      <x:c r="A40" s="860" t="str">
        <x:v>WBS-3.2</x:v>
      </x:c>
      <x:c r="B40" s="861" t="str">
        <x:v>기능·콘텐츠·모델 구현</x:v>
      </x:c>
      <x:c r="C40" s="862" t="str">
        <x:v>가입·로그인·동의 구현</x:v>
      </x:c>
      <x:c r="D40" s="862" t="str">
        <x:f>'시트1'!D46&amp;CHAR(10)&amp;"협업: 황수빈"&amp;CHAR(10)&amp;"전반 관리: 김태윤(PM), 김동섭(APM)"</x:f>
        <x:v>최인영
협업: 황수빈
전반 관리: 김태윤(PM), 김동섭(APM)</x:v>
      </x:c>
      <x:c r="E40" s="862" t="str">
        <x:v>WBS-3.1, WBS-2.6, WBS-3.34</x:v>
      </x:c>
      <x:c r="F40" s="862" t="str">
        <x:v>FFJ-01, FBF-01, FBF-02, FBF-04</x:v>
      </x:c>
      <x:c r="G40" s="862" t="str">
        <x:v>계정·인증·동의 기능</x:v>
      </x:c>
      <x:c r="H40" s="862" t="str">
        <x:v>가상 데모 계정·인증·동의 항목/버전/시점·철회상태를 구현한다. 일반 공개 가입과 실제 아동 정보 수집은 비활성으로 둔다.</x:v>
      </x:c>
      <x:c r="I40" s="862" t="str">
        <x:v>P01 확정 방식 적용</x:v>
      </x:c>
    </x:row>
    <x:row r="41" ht="100" customHeight="1">
      <x:c r="A41" s="860" t="str">
        <x:v>WBS-3.5</x:v>
      </x:c>
      <x:c r="B41" s="861" t="str">
        <x:v>기능·콘텐츠·모델 구현</x:v>
      </x:c>
      <x:c r="C41" s="862" t="str">
        <x:v>자체 미션·기준표 콘텐츠 제작</x:v>
      </x:c>
      <x:c r="D41" s="862" t="str">
        <x:f>'시트1'!D47&amp;CHAR(10)&amp;"협업: 최성욱, 황수빈"&amp;CHAR(10)&amp;"전반 관리: 김태윤(PM), 김동섭(APM)"</x:f>
        <x:v>김동섭
협업: 최성욱, 황수빈
전반 관리: 김태윤(PM), 김동섭(APM)</x:v>
      </x:c>
      <x:c r="E41" s="862" t="str">
        <x:v>WBS-2.4, WBS-3.47, WBS-3.48</x:v>
      </x:c>
      <x:c r="F41" s="862" t="str">
        <x:v>FAD-01, FAD-03, FAD-04, FAD-05, FAD-08, FAC-18, FAR-09</x:v>
      </x:c>
      <x:c r="G41" s="862" t="str">
        <x:v>미션·장면·예시 답·기준표</x:v>
      </x:c>
      <x:c r="H41" s="862" t="str">
        <x:v>11/13까지35개 초안을 생성/구조 검사하고 김동섭이 코드·성취수준·학년·내용·행동·힌트·요소를 검수한다. source와 초안→검토완료→공개 상태를 기록하되 공개는4.12/4.7 이후 승인 범위를 따른다.</x:v>
      </x:c>
      <x:c r="I41" s="862" t="str">
        <x:v>최성욱 초안 생성·자동 검사, 김동섭 검수/확정.4.12에서 미션별3~5개 시범풀이,4.2에서 대표5개 독립평가. 두 검증을 혼합하지 않으며 미달은 기록 중심/판정 보류.64미션 확장은 제외.</x:v>
      </x:c>
    </x:row>
    <x:row r="42" ht="100" customHeight="1">
      <x:c r="A42" s="860" t="str">
        <x:v>WBS-3.6</x:v>
      </x:c>
      <x:c r="B42" s="861" t="str">
        <x:v>기능·콘텐츠·모델 구현</x:v>
      </x:c>
      <x:c r="C42" s="862" t="str">
        <x:v>관리자 문제 운영 화면 구현</x:v>
      </x:c>
      <x:c r="D42" s="862" t="str">
        <x:f>'시트1'!D48&amp;CHAR(10)&amp;"협업: 최인영, 김동섭"&amp;CHAR(10)&amp;"전반 관리: 김태윤(PM), 김동섭(APM)"</x:f>
        <x:v>황수빈
협업: 최인영, 김동섭
전반 관리: 김태윤(PM), 김동섭(APM)</x:v>
      </x:c>
      <x:c r="E42" s="862" t="str">
        <x:v>WBS-3.1, WBS-2.1, WBS-2.4, WBS-3.34</x:v>
      </x:c>
      <x:c r="F42" s="862" t="str">
        <x:v>FFJ-10, FFH-14, FBN-09, FBF-19, FBN-10</x:v>
      </x:c>
      <x:c r="G42" s="862" t="str">
        <x:v>등록·검토·공개·비공개 기능</x:v>
      </x:c>
      <x:c r="H42" s="862" t="str">
        <x:v>관리자는 question_type·정답/다른답·힌트·성취기준/성취수준·생성방식(source)·검사 결과·검수 상태(status)를 확인하고 승인·수정·반려한다. 누락 코드/검사 실패/미검수 미션은 공개할 수 없으며 수정본/기존 학습을 구분한다.</x:v>
      </x:c>
      <x:c r="I42" s="862" t="str">
        <x:v>진행 중 학습과 수정본의 적용 시점 구분</x:v>
      </x:c>
    </x:row>
    <x:row r="43" ht="100" customHeight="1">
      <x:c r="A43" s="860" t="str">
        <x:v>WBS-3.10</x:v>
      </x:c>
      <x:c r="B43" s="861" t="str">
        <x:v>기능·콘텐츠·모델 구현</x:v>
      </x:c>
      <x:c r="C43" s="862" t="str">
        <x:v>규칙 판정·근거 대조 구현</x:v>
      </x:c>
      <x:c r="D43" s="862" t="str">
        <x:f>'시트1'!D49&amp;CHAR(10)&amp;"협업: 김재현, 김동섭"&amp;CHAR(10)&amp;"전반 관리: 김태윤(PM), 김동섭(APM)"</x:f>
        <x:v>최성욱
협업: 김재현, 김동섭
전반 관리: 김태윤(PM), 김동섭(APM)</x:v>
      </x:c>
      <x:c r="E43" s="862" t="str">
        <x:v>WBS-3.1, WBS-2.4, WBS-2.10, WBS-3.48</x:v>
      </x:c>
      <x:c r="F43" s="862" t="str">
        <x:v>FBF-09, FAC-01, FAC-02, FBF-40</x:v>
      </x:c>
      <x:c r="G43" s="862" t="str">
        <x:v>정답 규칙·요소 판정·보류 처리</x:v>
      </x:c>
      <x:c r="H43" s="862" t="str">
        <x:v>정답형은 answer_key·힌트단계·choice_result, 열린형은 이유 있음/보기 사실 일치·근거 구절을 분리한다. 처음 맞힌 뒤 이유 답변은 선택이며 열린형 다른 이유를 단순 오답 처리하지 않는다. 미션 생성과 질문 검사 규칙을 재사용한다.</x:v>
      </x:c>
      <x:c r="I43" s="862" t="str">
        <x:v>LLM 요소 추출과 코드 판정을 분리</x:v>
      </x:c>
    </x:row>
    <x:row r="44" ht="100" customHeight="1">
      <x:c r="A44" s="860" t="str">
        <x:v>WBS-3.27</x:v>
      </x:c>
      <x:c r="B44" s="861" t="str">
        <x:v>기능·콘텐츠·모델 구현</x:v>
      </x:c>
      <x:c r="C44" s="862" t="str">
        <x:v>M2 학습·기준선 산출</x:v>
      </x:c>
      <x:c r="D44" s="862" t="str">
        <x:f>'시트1'!D50&amp;CHAR(10)&amp;"협업: 김동섭"&amp;CHAR(10)&amp;"전반 관리: 김태윤(PM), 김동섭(APM)"</x:f>
        <x:v>김재현
협업: 김동섭
전반 관리: 김태윤(PM), 김동섭(APM)</x:v>
      </x:c>
      <x:c r="E44" s="862" t="str">
        <x:v>WBS-2.5, WBS-2.9, WBS-3.33, WBS-2.14</x:v>
      </x:c>
      <x:c r="F44" s="862" t="str">
        <x:v>FAC-13, FBN-26</x:v>
      </x:c>
      <x:c r="G44" s="862" t="str">
        <x:v>M2 학습 모델·2종 이상 비교·학습 설정·결과서 기초자료</x:v>
      </x:c>
      <x:c r="H44" s="862" t="str">
        <x:v>사용조건이 확인된 모델로 M2와 xlm-roberta-base 파인튜닝 기준선을 같은 문항 그룹 분할/전처리/지표로 비교한다. 조건 미확인 후보는 보류하고11/10 후보·11/13 제출 자료를 고정한다.</x:v>
      </x:c>
      <x:c r="I44" s="862" t="str">
        <x:v>학습 자원·비교 리비전·사용조건 근거·선정/미채택 사유를 기록한다. 학습 실험과11/20~21 독립평가를 구분한다. 출처의 라이선스 표기를 검증완료로 복사하지 않는다.</x:v>
      </x:c>
    </x:row>
    <x:row r="45" ht="100" customHeight="1">
      <x:c r="A45" s="860" t="str">
        <x:v>WBS-3.3</x:v>
      </x:c>
      <x:c r="B45" s="861" t="str">
        <x:v>기능·콘텐츠·모델 구현</x:v>
      </x:c>
      <x:c r="C45" s="862" t="str">
        <x:v>자녀 연결·접근 권한 구현</x:v>
      </x:c>
      <x:c r="D45" s="862" t="str">
        <x:f>'시트1'!D51&amp;CHAR(10)&amp;"협업: 황수빈"&amp;CHAR(10)&amp;"전반 관리: 김태윤(PM), 김동섭(APM)"</x:f>
        <x:v>최인영
협업: 황수빈
전반 관리: 김태윤(PM), 김동섭(APM)</x:v>
      </x:c>
      <x:c r="E45" s="862" t="str">
        <x:v>WBS-3.1, WBS-2.6, WBS-3.34</x:v>
      </x:c>
      <x:c r="F45" s="862" t="str">
        <x:v>FBF-03, FFJ-02, FBN-01, FBN-02, FBN-05, FBN-06, FBN-07, FBN-08</x:v>
      </x:c>
      <x:c r="G45" s="862" t="str">
        <x:v>자녀 연결·조회 범위 제어</x:v>
      </x:c>
      <x:c r="H45" s="862" t="str">
        <x:v>모든 기록·대화 도구·리포트 요청에 동일한 자녀 권한을 적용한다.</x:v>
      </x:c>
      <x:c r="I45" s="862" t="str">
        <x:v>다자녀와 연결 해제 정책 반영</x:v>
      </x:c>
    </x:row>
    <x:row r="46" ht="100" customHeight="1">
      <x:c r="A46" s="860" t="str">
        <x:v>WBS-3.7</x:v>
      </x:c>
      <x:c r="B46" s="861" t="str">
        <x:v>기능·콘텐츠·모델 구현</x:v>
      </x:c>
      <x:c r="C46" s="862" t="str">
        <x:v>미션 탐색·입력 화면 구현</x:v>
      </x:c>
      <x:c r="D46" s="862" t="str">
        <x:f>'시트1'!D52&amp;CHAR(10)&amp;"협업: 최인영, 최성욱"&amp;CHAR(10)&amp;"전반 관리: 김태윤(PM), 김동섭(APM)"</x:f>
        <x:v>황수빈
협업: 최인영, 최성욱
전반 관리: 김태윤(PM), 김동섭(APM)</x:v>
      </x:c>
      <x:c r="E46" s="862" t="str">
        <x:v>WBS-3.1, WBS-2.1, WBS-2.4</x:v>
      </x:c>
      <x:c r="F46" s="862" t="str">
        <x:v>FFH-01, FFJ-03, FFJ-04, FFJ-12, FFJ-13, FFJ-14, FFJ-15</x:v>
      </x:c>
      <x:c r="G46" s="862" t="str">
        <x:v>미션 목록·유형별 입력·도움·메모</x:v>
      </x:c>
      <x:c r="H46" s="862" t="str">
        <x:v>고정 API 계약으로 정답형/열린형 입력·보호자 받아쓰기·진행 위치·메모/도움·힌트 상태를 구분한다. API가 허용하지 않은 힌트/정답을 미리 표시하지 않고 같은 미션/답변 버전을 유지한다.</x:v>
      </x:c>
      <x:c r="I46" s="862" t="str">
        <x:v>메모 보관과 시연 링크는 승인 정책 범위만 적용</x:v>
      </x:c>
    </x:row>
    <x:row r="47" ht="100" customHeight="1">
      <x:c r="A47" s="860" t="str">
        <x:v>WBS-3.11</x:v>
      </x:c>
      <x:c r="B47" s="861" t="str">
        <x:v>기능·콘텐츠·모델 구현</x:v>
      </x:c>
      <x:c r="C47" s="862" t="str">
        <x:v>학생 되묻기·대화 구현</x:v>
      </x:c>
      <x:c r="D47" s="862" t="str">
        <x:f>'시트1'!D53&amp;CHAR(10)&amp;"협업: 황수빈, 최인영"&amp;CHAR(10)&amp;"전반 관리: 김태윤(PM), 김동섭(APM)"</x:f>
        <x:v>최성욱
협업: 황수빈, 최인영
전반 관리: 김태윤(PM), 김동섭(APM)</x:v>
      </x:c>
      <x:c r="E47" s="862" t="str">
        <x:v>WBS-3.10, WBS-2.2</x:v>
      </x:c>
      <x:c r="F47" s="862" t="str">
        <x:v>FFH-02, FAC-03, FAC-04, FBN-04, FBF-10</x:v>
      </x:c>
      <x:c r="G47" s="862" t="str">
        <x:v>학습 대화·금지어 검사·실패 상태</x:v>
      </x:c>
      <x:c r="H47" s="862" t="str">
        <x:v>고정 계약으로 답변 버전 연계·닫힌/열린 분기·학년별1/2/3회 상한·단계형 힌트·정답 공개·종료·실패를 구현한다. 실제 답변 저장 경로 결합은 3.32.</x:v>
      </x:c>
      <x:c r="I47" s="862" t="str">
        <x:v>계약 기반 병행 구현이며 서비스 동작 시험은 4단계. P16 미승인 대체 응답을 적용하지 않는다.</x:v>
      </x:c>
    </x:row>
    <x:row r="48" ht="100" customHeight="1">
      <x:c r="A48" s="860" t="str">
        <x:v>WBS-3.44</x:v>
      </x:c>
      <x:c r="B48" s="861" t="str">
        <x:v>기능·콘텐츠·모델 구현</x:v>
      </x:c>
      <x:c r="C48" s="862" t="str">
        <x:v>M2 독립 채점 자료·보정 절차 준비</x:v>
      </x:c>
      <x:c r="D48" s="862" t="str">
        <x:f>'시트1'!D54&amp;CHAR(10)&amp;"협업: 황수빈, 김재현"&amp;CHAR(10)&amp;"전반 관리: 김태윤(PM), 김동섭(APM)"</x:f>
        <x:v>김태윤
협업: 황수빈, 김재현
전반 관리: 김태윤(PM), 김동섭(APM)</x:v>
      </x:c>
      <x:c r="E48" s="862" t="str">
        <x:v>WBS-3.43, WBS-2.9</x:v>
      </x:c>
      <x:c r="F48" s="862" t="str">
        <x:v>FAR-02, FAR-07, FAC-13</x:v>
      </x:c>
      <x:c r="G48" s="862" t="str">
        <x:v>30~50개 보정 자료·자체 답안·채점 양식</x:v>
      </x:c>
      <x:c r="H48" s="862" t="str">
        <x:v>71818 동일8항목1~5점으로 보정할30~50개와 미사용 평가셋을 고정한다. 두 평가자가 상대/모델 답을 보지 않는 양식·순서·불일치 보존·미달 경로를 준비한다.</x:v>
      </x:c>
      <x:c r="I48" s="862" t="str">
        <x:v>보정·QWK 계산·실제 독립 판정은4.2에 모아 수행. 김태윤·황수빈2인, 모델개발 김재현과 분리.</x:v>
      </x:c>
    </x:row>
    <x:row r="49" ht="100" customHeight="1">
      <x:c r="A49" s="860" t="str">
        <x:v>WBS-3.4</x:v>
      </x:c>
      <x:c r="B49" s="861" t="str">
        <x:v>기능·콘텐츠·모델 구현</x:v>
      </x:c>
      <x:c r="C49" s="862" t="str">
        <x:v>계정 복구·수정·탈퇴 구현</x:v>
      </x:c>
      <x:c r="D49" s="862" t="str">
        <x:f>'시트1'!D55&amp;CHAR(10)&amp;"협업: 황수빈"&amp;CHAR(10)&amp;"전반 관리: 김태윤(PM), 김동섭(APM)"</x:f>
        <x:v>최인영
협업: 황수빈
전반 관리: 김태윤(PM), 김동섭(APM)</x:v>
      </x:c>
      <x:c r="E49" s="862" t="str">
        <x:v>WBS-3.2, WBS-3.3</x:v>
      </x:c>
      <x:c r="F49" s="862" t="str">
        <x:v>FFJ-25, FBF-21, FBN-12, FFJ-29, FBF-26, FBF-27</x:v>
      </x:c>
      <x:c r="G49" s="862" t="str">
        <x:v>복구·프로필·삭제 절차</x:v>
      </x:c>
      <x:c r="H49" s="862" t="str">
        <x:v>데모 프로필·계정 접근 복구·연결 해제·운영 DB 삭제와 삭제 이력을 구현한다. 복원 시 삭제 대상이 다시 노출되지 않도록 삭제 이력을 3.25와 연결한다.</x:v>
      </x:c>
      <x:c r="I49" s="862" t="str">
        <x:v>미처리 거래와 삭제 정책 연결</x:v>
      </x:c>
    </x:row>
    <x:row r="50" ht="100" customHeight="1">
      <x:c r="A50" s="860" t="str">
        <x:v>WBS-3.8</x:v>
      </x:c>
      <x:c r="B50" s="861" t="str">
        <x:v>기능·콘텐츠·모델 구현</x:v>
      </x:c>
      <x:c r="C50" s="862" t="str">
        <x:v>답변 버전·제출 상태 구현</x:v>
      </x:c>
      <x:c r="D50" s="862" t="str">
        <x:f>'시트1'!D56&amp;CHAR(10)&amp;"협업: 최성욱"&amp;CHAR(10)&amp;"전반 관리: 김태윤(PM), 김동섭(APM)"</x:f>
        <x:v>최인영
협업: 최성욱
전반 관리: 김태윤(PM), 김동섭(APM)</x:v>
      </x:c>
      <x:c r="E50" s="862" t="str">
        <x:v>WBS-3.1, WBS-2.3, WBS-3.34</x:v>
      </x:c>
      <x:c r="F50" s="862" t="str">
        <x:v>FBF-05, FBF-06, FBF-07, FBF-08, FBF-39, FBF-40</x:v>
      </x:c>
      <x:c r="G50" s="862" t="str">
        <x:v>최초·추가 답변·상태 기록</x:v>
      </x:c>
      <x:c r="H50" s="862" t="str">
        <x:v>최초/수정 답변·이전답/질문·중복 요청 키·서버 시각·버전을 보존하고 choice_result(처음맞힘/힌트후맞힘/다시풀기)와 hint_step을 답변/미션 버전에 연결한다. 저장과 AI 성공을 분리하고 과거 기록의 미수집과0을 구분한다.</x:v>
      </x:c>
      <x:c r="I50" s="862" t="str">
        <x:v>AI 처리와 답변 저장 상태 분리</x:v>
      </x:c>
    </x:row>
    <x:row r="51" ht="100" customHeight="1">
      <x:c r="A51" s="860" t="str">
        <x:v>WBS-3.12</x:v>
      </x:c>
      <x:c r="B51" s="861" t="str">
        <x:v>기능·콘텐츠·모델 구현</x:v>
      </x:c>
      <x:c r="C51" s="862" t="str">
        <x:v>결과·돌아보기·자기 평가 구현</x:v>
      </x:c>
      <x:c r="D51" s="862" t="str">
        <x:f>'시트1'!D57&amp;CHAR(10)&amp;"협업: 최성욱, 최인영"&amp;CHAR(10)&amp;"전반 관리: 김태윤(PM), 김동섭(APM)"</x:f>
        <x:v>황수빈
협업: 최성욱, 최인영
전반 관리: 김태윤(PM), 김동섭(APM)</x:v>
      </x:c>
      <x:c r="E51" s="862" t="str">
        <x:v>WBS-3.7, WBS-2.2</x:v>
      </x:c>
      <x:c r="F51" s="862" t="str">
        <x:v>FBN-03, FFJ-16, FAD-02, FFJ-38</x:v>
      </x:c>
      <x:c r="G51" s="862" t="str">
        <x:v>결과 비교·체크리스트·돌아보기</x:v>
      </x:c>
      <x:c r="H51" s="862" t="str">
        <x:v>마무리 후 처음/마지막 답·정답/예시·근거 요소·돌아보기를 연결한다. 정답형 처음맞힘/힌트후맞힘/다시풀기와 열린형 이유/사실 일치를 분리하고 저학년에게 점수/등급을 표시하지 않는다.</x:v>
      </x:c>
      <x:c r="I51" s="862" t="str">
        <x:v>자기 평가는 선택 범위 결정에 따름</x:v>
      </x:c>
    </x:row>
    <x:row r="52" ht="100" customHeight="1">
      <x:c r="A52" s="860" t="str">
        <x:v>WBS-3.15</x:v>
      </x:c>
      <x:c r="B52" s="861" t="str">
        <x:v>기능·콘텐츠·모델 구현</x:v>
      </x:c>
      <x:c r="C52" s="862" t="str">
        <x:v>학부모 조회 도구·집계 구현</x:v>
      </x:c>
      <x:c r="D52" s="862" t="str">
        <x:f>'시트1'!D58&amp;CHAR(10)&amp;"협업: 최인영"&amp;CHAR(10)&amp;"전반 관리: 김태윤(PM), 김동섭(APM)"</x:f>
        <x:v>최성욱
협업: 최인영
전반 관리: 김태윤(PM), 김동섭(APM)</x:v>
      </x:c>
      <x:c r="E52" s="862" t="str">
        <x:v>WBS-3.8, WBS-3.10, WBS-2.10</x:v>
      </x:c>
      <x:c r="F52" s="862" t="str">
        <x:v>FAC-05, FBF-11, FBF-15, FBF-16, FAC-08, FAC-09, FBF-40</x:v>
      </x:c>
      <x:c r="G52" s="862" t="str">
        <x:v>조회 도구·기간·계산 근거</x:v>
      </x:c>
      <x:c r="H52" s="862" t="str">
        <x:v>기존 지표와 초1~2 처음맞힌수/정답형수·힌트후맞힌수/처음틀린수·이유를말한수/열린형수를 따로 집계하고 이유의 사실 일치는 별도 건수로 표시한다. 초1~2는 표본수와 무관하게 몇개중몇개만 표시하며 %/점수/등급/또래비교를 제공하지 않는다.</x:v>
      </x:c>
      <x:c r="I52" s="862" t="str">
        <x:v>작은 표본·도움 없이 시작한 비율 기준 합의 필요</x:v>
      </x:c>
    </x:row>
    <x:row r="53" ht="100" customHeight="1">
      <x:c r="A53" s="860" t="str">
        <x:v>WBS-3.9</x:v>
      </x:c>
      <x:c r="B53" s="861" t="str">
        <x:v>기능·콘텐츠·모델 구현</x:v>
      </x:c>
      <x:c r="C53" s="862" t="str">
        <x:v>초안 저장·이어하기 구현</x:v>
      </x:c>
      <x:c r="D53" s="862" t="str">
        <x:f>'시트1'!D59&amp;CHAR(10)&amp;"협업: 황수빈"&amp;CHAR(10)&amp;"전반 관리: 김태윤(PM), 김동섭(APM)"</x:f>
        <x:v>최인영
협업: 황수빈
전반 관리: 김태윤(PM), 김동섭(APM)</x:v>
      </x:c>
      <x:c r="E53" s="862" t="str">
        <x:v>WBS-3.7, WBS-3.8</x:v>
      </x:c>
      <x:c r="F53" s="862" t="str">
        <x:v>FBF-24, FFJ-27, FBF-25, FFJ-05, FFJ-17</x:v>
      </x:c>
      <x:c r="G53" s="862" t="str">
        <x:v>자동 저장·복원·충돌 처리</x:v>
      </x:c>
      <x:c r="H53" s="862" t="str">
        <x:v>초안·제출 답변·메모 저장 범위를 구분해 구현한다.</x:v>
      </x:c>
      <x:c r="I53" s="862" t="str">
        <x:v>P05 검토 필요 항목 합의 후 적용</x:v>
      </x:c>
    </x:row>
    <x:row r="54" ht="100" customHeight="1">
      <x:c r="A54" s="860" t="str">
        <x:v>WBS-3.13</x:v>
      </x:c>
      <x:c r="B54" s="861" t="str">
        <x:v>기능·콘텐츠·모델 구현</x:v>
      </x:c>
      <x:c r="C54" s="862" t="str">
        <x:v>학년별 입력·접근성·움직임 줄이기 구현</x:v>
      </x:c>
      <x:c r="D54" s="862" t="str">
        <x:f>'시트1'!D60&amp;CHAR(10)&amp;"협업: 최인영"&amp;CHAR(10)&amp;"전반 관리: 김태윤(PM), 김동섭(APM)"</x:f>
        <x:v>황수빈
협업: 최인영
전반 관리: 김태윤(PM), 김동섭(APM)</x:v>
      </x:c>
      <x:c r="E54" s="862" t="str">
        <x:v>WBS-3.12</x:v>
      </x:c>
      <x:c r="F54" s="862" t="str">
        <x:v>FFH-16, FFJ-28, FAD-06, FFJ-36, FFJ-37, FFJ-38, FFJ-39</x:v>
      </x:c>
      <x:c r="G54" s="862" t="str">
        <x:v>반응형·접근성·학습 보조</x:v>
      </x:c>
      <x:c r="H54" s="862" t="str">
        <x:v>고르기·보호자 받아쓰기·목록 접기·정적 장면과 지원 조작을 구현한다. STT는 확장으로 분리하고 TTS 채택 여부는 P03에 남긴다.</x:v>
      </x:c>
      <x:c r="I54" s="862" t="str">
        <x:v>음성 기능 조건부: 성인 시연·원음 미저장·판정 제외</x:v>
      </x:c>
    </x:row>
    <x:row r="55" ht="100" customHeight="1">
      <x:c r="A55" s="860" t="str">
        <x:v>WBS-3.25</x:v>
      </x:c>
      <x:c r="B55" s="861" t="str">
        <x:v>기능·콘텐츠·모델 구현</x:v>
      </x:c>
      <x:c r="C55" s="862" t="str">
        <x:v>로그·경보·재시도·백업 구현</x:v>
      </x:c>
      <x:c r="D55" s="862" t="str">
        <x:f>'시트1'!D61&amp;CHAR(10)&amp;"협업: 김태윤, 최인영"&amp;CHAR(10)&amp;"전반 관리: 김태윤(PM), 김동섭(APM)"</x:f>
        <x:v>김동섭
협업: 김태윤, 최인영
전반 관리: 김태윤(PM), 김동섭(APM)</x:v>
      </x:c>
      <x:c r="E55" s="862" t="str">
        <x:v>WBS-3.1, WBS-2.7</x:v>
      </x:c>
      <x:c r="F55" s="862" t="str">
        <x:v>FBN-13, FBN-14, FBN-15, FBN-16, FBN-17, FBN-18, FBN-19, FBN-20</x:v>
      </x:c>
      <x:c r="G55" s="862" t="str">
        <x:v>상태 관측·복구·백업 절차</x:v>
      </x:c>
      <x:c r="H55" s="862" t="str">
        <x:v>RDS7일·수동 스냅샷·주간S3덤프·관측/경보/재시도·비밀 관리·삭제 이력 반영 복원 절차를 구현한다. 실제 복원 리허설은4.5.</x:v>
      </x:c>
      <x:c r="I55" s="862" t="str">
        <x:v>김동섭 배포/백업 구성, 김태윤 운영 대응, 최인영 삭제/마이그레이션 연계. 복구 목표와 수동 스냅샷/S3 보존·삭제는10/30 설계로 고정.</x:v>
      </x:c>
    </x:row>
    <x:row r="56" ht="100" customHeight="1">
      <x:c r="A56" s="860" t="str">
        <x:v>WBS-3.14</x:v>
      </x:c>
      <x:c r="B56" s="861" t="str">
        <x:v>기능·콘텐츠·모델 구현</x:v>
      </x:c>
      <x:c r="C56" s="862" t="str">
        <x:v>학생 대시보드 연결</x:v>
      </x:c>
      <x:c r="D56" s="862" t="str">
        <x:f>'시트1'!D62&amp;CHAR(10)&amp;"협업: 최인영"&amp;CHAR(10)&amp;"전반 관리: 김태윤(PM), 김동섭(APM)"</x:f>
        <x:v>황수빈
협업: 최인영
전반 관리: 김태윤(PM), 김동섭(APM)</x:v>
      </x:c>
      <x:c r="E56" s="862" t="str">
        <x:v>WBS-3.13</x:v>
      </x:c>
      <x:c r="F56" s="862" t="str">
        <x:v>FFH-05, FFJ-21, FFH-06, FFH-07, FBN-07, FFJ-41, FFJ-42</x:v>
      </x:c>
      <x:c r="G56" s="862" t="str">
        <x:v>학생 홈·최근 기록·이어하기</x:v>
      </x:c>
      <x:c r="H56" s="862" t="str">
        <x:v>현재 학생과 학습 상태를 실제 기록에 연결한다.</x:v>
      </x:c>
      <x:c r="I56" s="862" t="str">
        <x:v>권한·빈 기록·오류 표시 포함</x:v>
      </x:c>
    </x:row>
    <x:row r="57" ht="100" customHeight="1">
      <x:c r="A57" s="860" t="str">
        <x:v>WBS-3.16</x:v>
      </x:c>
      <x:c r="B57" s="861" t="str">
        <x:v>기능·콘텐츠·모델 구현</x:v>
      </x:c>
      <x:c r="C57" s="862" t="str">
        <x:v>학부모 분석 대화 구현</x:v>
      </x:c>
      <x:c r="D57" s="862" t="str">
        <x:f>'시트1'!D63&amp;CHAR(10)&amp;"협업: 황수빈, 최인영"&amp;CHAR(10)&amp;"전반 관리: 김태윤(PM), 김동섭(APM)"</x:f>
        <x:v>최성욱
협업: 황수빈, 최인영
전반 관리: 김태윤(PM), 김동섭(APM)</x:v>
      </x:c>
      <x:c r="E57" s="862" t="str">
        <x:v>WBS-3.15, WBS-3.3</x:v>
      </x:c>
      <x:c r="F57" s="862" t="str">
        <x:v>FFH-03, FBN-05, FFJ-18, FAC-05, FBF-11, FAC-06, FFJ-19, FFJ-20, FAC-07, FBF-12, FBF-13, FFJ-40</x:v>
      </x:c>
      <x:c r="G57" s="862" t="str">
        <x:v>분석 질의·근거·대화 이력</x:v>
      </x:c>
      <x:c r="H57" s="862" t="str">
        <x:v>자녀·기간·숫자·인용 검증과 예시 질문을 연결한다.</x:v>
      </x:c>
      <x:c r="I57" s="862" t="str">
        <x:v>실패·기록 부족·규칙 모드의 구분 유지</x:v>
      </x:c>
    </x:row>
    <x:row r="58" ht="100" customHeight="1">
      <x:c r="A58" s="860" t="str">
        <x:v>WBS-3.18</x:v>
      </x:c>
      <x:c r="B58" s="861" t="str">
        <x:v>기능·콘텐츠·모델 구현</x:v>
      </x:c>
      <x:c r="C58" s="862" t="str">
        <x:v>학부모 대시보드·파일 내보내기</x:v>
      </x:c>
      <x:c r="D58" s="862" t="str">
        <x:f>'시트1'!D64&amp;CHAR(10)&amp;"협업: 최성욱, 최인영"&amp;CHAR(10)&amp;"전반 관리: 김태윤(PM), 김동섭(APM)"</x:f>
        <x:v>황수빈
협업: 최성욱, 최인영
전반 관리: 김태윤(PM), 김동섭(APM)</x:v>
      </x:c>
      <x:c r="E58" s="862" t="str">
        <x:v>WBS-3.14, WBS-2.2</x:v>
      </x:c>
      <x:c r="F58" s="862" t="str">
        <x:v>FFH-08, FFH-09, FFH-10, FFJ-22, FFJ-23, FBN-08, FFJ-06, FFJ-07, FFJ-08, FBF-37</x:v>
      </x:c>
      <x:c r="G58" s="862" t="str">
        <x:v>현황·근거 이동·다운로드</x:v>
      </x:c>
      <x:c r="H58" s="862" t="str">
        <x:v>자녀/기간을 유지하고 초1~2는 몇개중몇개·원문·힌트/이유 기록만 표시한다. 상위 학년 비율/내부 M2 점수와 분리하고 추천 근거 성취기준·다음 미션·저녁 질문·파일 내보내기를 연결한다.</x:v>
      </x:c>
      <x:c r="I58" s="862" t="str">
        <x:v>Markdown/PDF 제공 범위는 P06 결정에 따름</x:v>
      </x:c>
    </x:row>
    <x:row r="59" ht="100" customHeight="1">
      <x:c r="A59" s="860" t="str">
        <x:v>WBS-3.19</x:v>
      </x:c>
      <x:c r="B59" s="861" t="str">
        <x:v>기능·콘텐츠·모델 구현</x:v>
      </x:c>
      <x:c r="C59" s="862" t="str">
        <x:v>오류 신고·도움말·문의 구현</x:v>
      </x:c>
      <x:c r="D59" s="862" t="str">
        <x:f>'시트1'!D65&amp;CHAR(10)&amp;"협업: 황수빈, 김태윤"&amp;CHAR(10)&amp;"전반 관리: 김태윤(PM), 김동섭(APM)"</x:f>
        <x:v>최인영
협업: 황수빈, 김태윤
전반 관리: 김태윤(PM), 김동섭(APM)</x:v>
      </x:c>
      <x:c r="E59" s="862" t="str">
        <x:v>WBS-3.11, WBS-3.15, WBS-3.3</x:v>
      </x:c>
      <x:c r="F59" s="862" t="str">
        <x:v>FFJ-26, FBF-22, FBF-23, FFH-15, FFH-17, FBF-28, FFH-18</x:v>
      </x:c>
      <x:c r="G59" s="862" t="str">
        <x:v>신고·검토·정정·문의·공지</x:v>
      </x:c>
      <x:c r="H59" s="862" t="str">
        <x:v>접수와 검토 결과·정정 이력을 연결하고 원문 답변을 유지한다.</x:v>
      </x:c>
      <x:c r="I59" s="862" t="str">
        <x:v>일반 문의와 AI 오류 신고 구분</x:v>
      </x:c>
    </x:row>
    <x:row r="60" ht="100" customHeight="1">
      <x:c r="A60" s="860" t="str">
        <x:v>WBS-3.35</x:v>
      </x:c>
      <x:c r="B60" s="861" t="str">
        <x:v>기능·콘텐츠·모델 구현</x:v>
      </x:c>
      <x:c r="C60" s="862" t="str">
        <x:v>검색 저장소 구축·결과서 정리</x:v>
      </x:c>
      <x:c r="D60" s="862" t="str">
        <x:f>'시트1'!D66&amp;CHAR(10)&amp;"협업: 김재현, 최인영, 김동섭"&amp;CHAR(10)&amp;"전반 관리: 김태윤(PM), 김동섭(APM)"</x:f>
        <x:v>최성욱
협업: 김재현, 최인영, 김동섭
전반 관리: 김태윤(PM), 김동섭(APM)</x:v>
      </x:c>
      <x:c r="E60" s="862" t="str">
        <x:v>WBS-2.7, WBS-3.33</x:v>
      </x:c>
      <x:c r="F60" s="862" t="str">
        <x:v>기획·관리 작업</x:v>
      </x:c>
      <x:c r="G60" s="862" t="str">
        <x:v>선정한 검색 저장소·스키마·구축 결과서</x:v>
      </x:c>
      <x:c r="H60" s="862" t="str">
        <x:v>선정한 검색 저장소의 스키마·허용 자료 적재·검색/갱신/삭제 경로 구현과 결과서 초안을11/11 준비한다. 실제 서비스 통합 검증은4.11.</x:v>
      </x:c>
      <x:c r="I60" s="862" t="str">
        <x:v>11/13 공식 결과서는 실제 구축 범위와 미검증을 구분해 제출한다. 적용 목적/자료가 부적합하면2.13에서 김동섭이 대체 제출을 확인. 서비스 없는 기능을 억지 추가하지 않는다.</x:v>
      </x:c>
    </x:row>
    <x:row r="61" ht="100" customHeight="1">
      <x:c r="A61" s="860" t="str">
        <x:v>WBS-3.17</x:v>
      </x:c>
      <x:c r="B61" s="861" t="str">
        <x:v>기능·콘텐츠·모델 구현</x:v>
      </x:c>
      <x:c r="C61" s="862" t="str">
        <x:v>주간 리포트 생성·조회 구현</x:v>
      </x:c>
      <x:c r="D61" s="862" t="str">
        <x:f>'시트1'!D67&amp;CHAR(10)&amp;"협업: 김재현, 황수빈, 최인영"&amp;CHAR(10)&amp;"전반 관리: 김태윤(PM), 김동섭(APM)"</x:f>
        <x:v>최성욱
협업: 김재현, 황수빈, 최인영
전반 관리: 김태윤(PM), 김동섭(APM)</x:v>
      </x:c>
      <x:c r="E61" s="862" t="str">
        <x:v>WBS-3.15, WBS-3.8</x:v>
      </x:c>
      <x:c r="F61" s="862" t="str">
        <x:v>FBF-14, FAC-10, FFH-04, FBF-17, FAC-16</x:v>
      </x:c>
      <x:c r="G61" s="862" t="str">
        <x:v>주간 생성·요약·리포트 상태</x:v>
      </x:c>
      <x:c r="H61" s="862" t="str">
        <x:v>초1~2 집계는 건수와 근거만 제공하고 상위 학년 비율/내부 M2 점수와 분리한다. 추천 이유는 누락요소·성취기준/미션 근거와 연결한다. 숫자/인용·자녀/기간·실패/보류를 검증 가능한 형태로 저장한다.</x:v>
      </x:c>
      <x:c r="I61" s="862" t="str">
        <x:v>sLLM 없이 LLM/코드 기반 리포트 경로를 완성한다. 주간 경계·시간대·재생성·기존 결과 보존은 P06 적용.</x:v>
      </x:c>
    </x:row>
    <x:row r="62" ht="100" customHeight="1">
      <x:c r="A62" s="860" t="str">
        <x:v>WBS-3.26</x:v>
      </x:c>
      <x:c r="B62" s="861" t="str">
        <x:v>기능·콘텐츠·모델 구현</x:v>
      </x:c>
      <x:c r="C62" s="862" t="str">
        <x:v>모델 버전·활성화·사용량 구현</x:v>
      </x:c>
      <x:c r="D62" s="862" t="str">
        <x:f>'시트1'!D68&amp;CHAR(10)&amp;"협업: 최성욱, 김동섭, 김태윤"&amp;CHAR(10)&amp;"전반 관리: 김태윤(PM), 김동섭(APM)"</x:f>
        <x:v>김재현
협업: 최성욱, 김동섭, 김태윤
전반 관리: 김태윤(PM), 김동섭(APM)</x:v>
      </x:c>
      <x:c r="E62" s="862" t="str">
        <x:v>WBS-3.27, WBS-2.2</x:v>
      </x:c>
      <x:c r="F62" s="862" t="str">
        <x:v>FAC-12, FAR-05, FBN-21, FBN-22, FBN-23, FBN-26</x:v>
      </x:c>
      <x:c r="G62" s="862" t="str">
        <x:v>버전 추적·활성화·비용 기록</x:v>
      </x:c>
      <x:c r="H62" s="862" t="str">
        <x:v>모델/프롬프트/기준표 버전과 사용조건 확인 상태·허용 범위를 기록한다. 미확인 모델은 활성화할 수 없으며 LLM 사용량에는 학생ID/답변 내용을 저장하지 않는다.</x:v>
      </x:c>
      <x:c r="I62" s="862" t="str">
        <x:v>김재현 모델 버전, 최성욱 호출별 사용량 생산, 최인영 저장 계약. 활성화 승인 전 후보 모델을 공개하지 않는다.</x:v>
      </x:c>
    </x:row>
    <x:row r="63" ht="100" customHeight="1">
      <x:c r="A63" s="860" t="str">
        <x:v>WBS-3.20</x:v>
      </x:c>
      <x:c r="B63" s="861" t="str">
        <x:v>기능·콘텐츠·모델 구현</x:v>
      </x:c>
      <x:c r="C63" s="862" t="str">
        <x:v>사용자 알림 구현</x:v>
      </x:c>
      <x:c r="D63" s="862" t="str">
        <x:f>'시트1'!D69&amp;CHAR(10)&amp;"협업: 황수빈"&amp;CHAR(10)&amp;"전반 관리: 김태윤(PM), 김동섭(APM)"</x:f>
        <x:v>최인영
협업: 황수빈
전반 관리: 김태윤(PM), 김동섭(APM)</x:v>
      </x:c>
      <x:c r="E63" s="862" t="str">
        <x:v>WBS-3.19, WBS-2.2</x:v>
      </x:c>
      <x:c r="F63" s="862" t="str">
        <x:v>FBF-29, FFJ-30, FFJ-31, FBN-24</x:v>
      </x:c>
      <x:c r="G63" s="862" t="str">
        <x:v>알림 생성·읽음·수신 설정</x:v>
      </x:c>
      <x:c r="H63" s="862" t="str">
        <x:v>데모 앱 내 리포트/문의 알림을 구현하고 중복·민감정보를 제한한다. 결제 알림·외부 이메일/푸시 채널은 확장이다.</x:v>
      </x:c>
      <x:c r="I63" s="862" t="str">
        <x:v>운영 장애 경보와 사용자 알림 분리</x:v>
      </x:c>
    </x:row>
    <x:row r="64" ht="100" customHeight="1">
      <x:c r="A64" s="860" t="str">
        <x:v>WBS-3.21</x:v>
      </x:c>
      <x:c r="B64" s="861" t="str">
        <x:v>기능·콘텐츠·모델 구현</x:v>
      </x:c>
      <x:c r="C64" s="862" t="str">
        <x:v>관리자 대시보드·조치 연결</x:v>
      </x:c>
      <x:c r="D64" s="862" t="str">
        <x:f>'시트1'!D70&amp;CHAR(10)&amp;"협업: 최인영, 김태윤"&amp;CHAR(10)&amp;"전반 관리: 김태윤(PM), 김동섭(APM)"</x:f>
        <x:v>황수빈
협업: 최인영, 김태윤
전반 관리: 김태윤(PM), 김동섭(APM)</x:v>
      </x:c>
      <x:c r="E64" s="862" t="str">
        <x:v>WBS-3.18, WBS-2.2</x:v>
      </x:c>
      <x:c r="F64" s="862" t="str">
        <x:v>FFH-11, FFH-12, FFH-13, FFJ-24, FBF-18, FFJ-09, FFJ-10, FFJ-11</x:v>
      </x:c>
      <x:c r="G64" s="862" t="str">
        <x:v>운영 집계·상세·조치 이력</x:v>
      </x:c>
      <x:c r="H64" s="862" t="str">
        <x:v>고정 계약으로 문제·판정/리포트 실패·검수/공개/재처리 경로를 연결하고 학생 원문 무제한 열람을 금지한다.</x:v>
      </x:c>
      <x:c r="I64" s="862" t="str">
        <x:v>관리자 권한이 학생 원문 무제한 열람을 뜻하지 않음</x:v>
      </x:c>
    </x:row>
    <x:row r="65" ht="100" customHeight="1">
      <x:c r="A65" s="860" t="str">
        <x:v>WBS-3.30</x:v>
      </x:c>
      <x:c r="B65" s="861" t="str">
        <x:v>기능·콘텐츠·모델 구현</x:v>
      </x:c>
      <x:c r="C65" s="862" t="str">
        <x:v>모델 결과·리포트 연동 구성</x:v>
      </x:c>
      <x:c r="D65" s="862" t="str">
        <x:f>'시트1'!D71&amp;CHAR(10)&amp;"협업: 김재현, 최인영"&amp;CHAR(10)&amp;"전반 관리: 김태윤(PM), 김동섭(APM)"</x:f>
        <x:v>최성욱
협업: 김재현, 최인영
전반 관리: 김태윤(PM), 김동섭(APM)</x:v>
      </x:c>
      <x:c r="E65" s="862" t="str">
        <x:v>WBS-3.27, WBS-3.26, WBS-2.2</x:v>
      </x:c>
      <x:c r="F65" s="862" t="str">
        <x:v>FAC-11, FAC-12, FBN-21, FBN-23</x:v>
      </x:c>
      <x:c r="G65" s="862" t="str">
        <x:v>모델 입력·관찰·설명 연동</x:v>
      </x:c>
      <x:c r="H65" s="862" t="str">
        <x:v>M2 후보·LLM 관찰·리포트의 입력/출력·버전·보류/불일치 상태를 연결한다. sLLM·M1은 미활성 상태로도 핵심 서비스가 동작하도록 계약을 지킨다.</x:v>
      </x:c>
      <x:c r="I65" s="862" t="str">
        <x:v>승인 전 공개 활성화는 하지 않음 / 11/20 LLM 활용 소프트웨어 제출용 AI 연동 버전. UI·운영·전체 연결의 최종 마감은 11/24.</x:v>
      </x:c>
    </x:row>
    <x:row r="66" ht="100" customHeight="1">
      <x:c r="A66" s="860" t="str">
        <x:v>WBS-3.37</x:v>
      </x:c>
      <x:c r="B66" s="861" t="str">
        <x:v>기능·콘텐츠·모델 구현</x:v>
      </x:c>
      <x:c r="C66" s="862" t="str">
        <x:v>쓰기 과정 집계 저장·중복 제어</x:v>
      </x:c>
      <x:c r="D66" s="862" t="str">
        <x:f>'시트1'!D72&amp;CHAR(10)&amp;"협업: 황수빈, 최성욱"&amp;CHAR(10)&amp;"전반 관리: 김태윤(PM), 김동섭(APM)"</x:f>
        <x:v>최인영
협업: 황수빈, 최성욱
전반 관리: 김태윤(PM), 김동섭(APM)</x:v>
      </x:c>
      <x:c r="E66" s="862" t="str">
        <x:v>WBS-2.11, WBS-3.8, WBS-3.9</x:v>
      </x:c>
      <x:c r="F66" s="862" t="str">
        <x:v>FBF-39, FBF-05, FBF-06, FBF-08, FBN-11</x:v>
      </x:c>
      <x:c r="G66" s="862" t="str">
        <x:v>쓰기 집계 API·영속 저장</x:v>
      </x:c>
      <x:c r="H66" s="862" t="str">
        <x:v>고친 횟수·삭제 문자·pause_count·paste_flag를 답변/세션 버전에 연결한다. 재전송·동시 편집·저장 실패·철회·삭제를 처리하고 원문 키 입력은 남기지 않는다.</x:v>
      </x:c>
      <x:c r="I66" s="862" t="str">
        <x:v>프론트 이벤트는3.38. 0과미수집 구분, 클라이언트 집계는 정답/대필 판정 근거로 사용하지 않음.</x:v>
      </x:c>
    </x:row>
    <x:row r="67" ht="100" customHeight="1">
      <x:c r="A67" s="860" t="str">
        <x:v>WBS-3.38</x:v>
      </x:c>
      <x:c r="B67" s="861" t="str">
        <x:v>기능·콘텐츠·모델 구현</x:v>
      </x:c>
      <x:c r="C67" s="862" t="str">
        <x:v>쓰기 집계 수집·상태 안내 화면</x:v>
      </x:c>
      <x:c r="D67" s="862" t="str">
        <x:f>'시트1'!D73&amp;CHAR(10)&amp;"협업: 최인영"&amp;CHAR(10)&amp;"전반 관리: 김태윤(PM), 김동섭(APM)"</x:f>
        <x:v>황수빈
협업: 최인영
전반 관리: 김태윤(PM), 김동섭(APM)</x:v>
      </x:c>
      <x:c r="E67" s="862" t="str">
        <x:v>WBS-3.21, WBS-2.11</x:v>
      </x:c>
      <x:c r="F67" s="862" t="str">
        <x:v>FBF-39, FFJ-27, FAD-06</x:v>
      </x:c>
      <x:c r="G67" s="862" t="str">
        <x:v>쓰기 이벤트·저장 상태 UI</x:v>
      </x:c>
      <x:c r="H67" s="862" t="str">
        <x:v>계약 기준으로 입력 변경/삭제/멈춤/붙여넣기 집계와 세션 키를 수집하고 받아쓰기/미지원·저장 실패 상태를 구분한다. 새로고침·IME·포커스 이탈 처리 코드를 포함한다.</x:v>
      </x:c>
      <x:c r="I67" s="862" t="str">
        <x:v>API 연동은3.32. 클립보드 내용·원문 키 입력 저장 금지, 자체 생각/표절 증명으로 표현하지 않음.</x:v>
      </x:c>
    </x:row>
    <x:row r="68" ht="100" customHeight="1">
      <x:c r="A68" s="860" t="str">
        <x:v>WBS-3.46</x:v>
      </x:c>
      <x:c r="B68" s="861" t="str">
        <x:v>기능·콘텐츠·모델 구현</x:v>
      </x:c>
      <x:c r="C68" s="862" t="str">
        <x:v>35미션·검증 범위·기준표 최종 인계</x:v>
      </x:c>
      <x:c r="D68" s="862" t="str">
        <x:f>'시트1'!D74&amp;CHAR(10)&amp;"협업: 최성욱, 김태윤"&amp;CHAR(10)&amp;"전반 관리: 김태윤(PM), 김동섭(APM)"</x:f>
        <x:v>김동섭
협업: 최성욱, 김태윤
전반 관리: 김태윤(PM), 김동섭(APM)</x:v>
      </x:c>
      <x:c r="E68" s="862" t="str">
        <x:v>WBS-3.5, WBS-3.43, WBS-3.47, WBS-3.48</x:v>
      </x:c>
      <x:c r="F68" s="862" t="str">
        <x:v>FAD-03, FAD-04, FAD-05, FAD-07, FAC-11</x:v>
      </x:c>
      <x:c r="G68" s="862" t="str">
        <x:v>35미션 목록·검수·판정 승인 대기표</x:v>
      </x:c>
      <x:c r="H68" s="862" t="str">
        <x:v>35미션의 코드1개 이상·학년/내용/동사·문항종류·요소·정답/다른답·힌트·source/status·검수자를 인계한다. 기존10개 코드 공란을 남기지 않고 시범풀이 승인 대기와 독립 카파 승인 범위를 구분한다.</x:v>
      </x:c>
      <x:c r="I68" s="862" t="str">
        <x:v>대표5개 범위 외에는 기록·근거 제시만 제공하고 검증이 필요한 수치/충족 판정은 보류. 35개 전부20~30답안 평가로 자동 확대하지 않음.</x:v>
      </x:c>
    </x:row>
    <x:row r="69" ht="100" customHeight="1">
      <x:c r="A69" s="860" t="str">
        <x:v>WBS-3.31</x:v>
      </x:c>
      <x:c r="B69" s="861" t="str">
        <x:v>기능·콘텐츠·모델 구현</x:v>
      </x:c>
      <x:c r="C69" s="862" t="str">
        <x:v>최종 자동 검증 코드 작성</x:v>
      </x:c>
      <x:c r="D69" s="862" t="str">
        <x:f>'시트1'!D75&amp;CHAR(10)&amp;"협업: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69" s="862" t="str">
        <x:v>WBS-2.9</x:v>
      </x:c>
      <x:c r="F69" s="862" t="str">
        <x:v>FAR-01, FAR-02, FAR-03, FAR-04, FAR-05, FAR-06, FBN-11, FAR-09, FBN-26, FBF-40</x:v>
      </x:c>
      <x:c r="G69" s="862" t="str">
        <x:v>검증 코드·평가 스크립트·시나리오</x:v>
      </x:c>
      <x:c r="H69" s="862" t="str">
        <x:v>11/18까지 각 모듈의 코드/설정/평가자료/테스트 코드를 완료한다. 코드 없는 기존10개 재태깅·자동검사 실패·정답형 결과/힌트·초1~2 건수·추천 성취기준/난도·라이선스 미확인 차단 사례를 준비하고 최종 실행은11/19부터 모은다.</x:v>
      </x:c>
      <x:c r="I69" s="862" t="str">
        <x:v>김태윤이 통합 QA를 총괄하고 각 모듈 담당자가 테스트 코드를 작성한다. 실행은 4단계에 모은다.</x:v>
      </x:c>
    </x:row>
    <x:row r="70" ht="100" customHeight="1">
      <x:c r="A70" s="860" t="str">
        <x:v>WBS-3.40</x:v>
      </x:c>
      <x:c r="B70" s="861" t="str">
        <x:v>기능·콘텐츠·모델 구현</x:v>
      </x:c>
      <x:c r="C70" s="862" t="str">
        <x:v>다음·복귀 미션 선택 화면</x:v>
      </x:c>
      <x:c r="D70" s="862" t="str">
        <x:f>'시트1'!D76&amp;CHAR(10)&amp;"협업: 최성욱, 최인영"&amp;CHAR(10)&amp;"전반 관리: 김태윤(PM), 김동섭(APM)"</x:f>
        <x:v>황수빈
협업: 최성욱, 최인영
전반 관리: 김태윤(PM), 김동섭(APM)</x:v>
      </x:c>
      <x:c r="E70" s="862" t="str">
        <x:v>WBS-3.38, WBS-2.11</x:v>
      </x:c>
      <x:c r="F70" s="862" t="str">
        <x:v>FFJ-41, FFJ-42, FBF-38</x:v>
      </x:c>
      <x:c r="G70" s="862" t="str">
        <x:v>후보 선택·복귀 안내</x:v>
      </x:c>
      <x:c r="H70" s="862" t="str">
        <x:v>후보/추천 이유/지원 범위와 이어하기를 구분한다. 동일 유형 후보가1개뿐이면2개로 꾸미지 않고 적은 수를 표시하며 클릭 시 권한/공개 상태를 재확인한다.</x:v>
      </x:c>
      <x:c r="I70" s="862" t="str">
        <x:v>백엔드 고정 계약으로 구현, 실제 추천 API 결합은3.32.</x:v>
      </x:c>
    </x:row>
    <x:row r="71" ht="100" customHeight="1">
      <x:c r="A71" s="860" t="str">
        <x:v>WBS-3.39</x:v>
      </x:c>
      <x:c r="B71" s="861" t="str">
        <x:v>기능·콘텐츠·모델 구현</x:v>
      </x:c>
      <x:c r="C71" s="862" t="str">
        <x:v>다음·복귀 미션 추천 규칙 구현</x:v>
      </x:c>
      <x:c r="D71" s="862" t="str">
        <x:f>'시트1'!D77&amp;CHAR(10)&amp;"협업: 김동섭, 최인영"&amp;CHAR(10)&amp;"전반 관리: 김태윤(PM), 김동섭(APM)"</x:f>
        <x:v>최성욱
협업: 김동섭, 최인영
전반 관리: 김태윤(PM), 김동섭(APM)</x:v>
      </x:c>
      <x:c r="E71" s="862" t="str">
        <x:v>WBS-3.35, WBS-3.15, WBS-2.11</x:v>
      </x:c>
      <x:c r="F71" s="862" t="str">
        <x:v>FFJ-41, FBF-38, FFJ-42</x:v>
      </x:c>
      <x:c r="G71" s="862" t="str">
        <x:v>규칙 추천·이유·이력 API</x:v>
      </x:c>
      <x:c r="H71" s="862" t="str">
        <x:v>검증/공개 상태와 학년·유형·성취기준을 확인해 후보2개와 이유를 생성한다. 같은 성취기준 안에서는 쉬운 미션→어려운 미션 순서, 요소3회 연속 누락은 해당 유형 추천에 사용한다. 부족한 후보는 실제 개수만 제공한다.</x:v>
      </x:c>
      <x:c r="I71" s="862" t="str">
        <x:v>5건 기준은 통계 표시 조건이며 추천 난도 규칙으로 쓰지 않는다. candidates/chosen_mission_id/reason_element/created_at를 보존하고 재접속·삭제·권한·후보 변경을 처리한다.</x:v>
      </x:c>
    </x:row>
    <x:row r="72" ht="100" customHeight="1">
      <x:c r="A72" s="860" t="str">
        <x:v>WBS-3.41</x:v>
      </x:c>
      <x:c r="B72" s="861" t="str">
        <x:v>기능·콘텐츠·모델 구현</x:v>
      </x:c>
      <x:c r="C72" s="862" t="str">
        <x:v>생각 조각 성장 지도 구현</x:v>
      </x:c>
      <x:c r="D72" s="862" t="str">
        <x:f>'시트1'!D78&amp;CHAR(10)&amp;"협업: 최성욱, 최인영"&amp;CHAR(10)&amp;"전반 관리: 김태윤(PM), 김동섭(APM)"</x:f>
        <x:v>황수빈
협업: 최성욱, 최인영
전반 관리: 김태윤(PM), 김동섭(APM)</x:v>
      </x:c>
      <x:c r="E72" s="862" t="str">
        <x:v>WBS-3.40, WBS-2.10</x:v>
      </x:c>
      <x:c r="F72" s="862" t="str">
        <x:v>FFH-22, FFH-07, FFJ-22, FAC-09</x:v>
      </x:c>
      <x:c r="G72" s="862" t="str">
        <x:v>활동/요소·원문 근거 지도</x:v>
      </x:c>
      <x:c r="H72" s="862" t="str">
        <x:v>실제 완료/보완·근거 요소를 유형/학년군/기간으로 표시하고 이전 답과 돌아보기로 연결한다. 삭제·보류·없음·실패를 구분하고 능력 점수/등급/또래 순위를 쓰지 않는다.</x:v>
      </x:c>
      <x:c r="I72" s="862" t="str">
        <x:v>비교 가능한 동일 기준의 기록만 월별 비교. 가상4주 기록은 시연이며 효과 실측이 아님.</x:v>
      </x:c>
    </x:row>
    <x:row r="73" ht="100" customHeight="1">
      <x:c r="A73" s="860" t="str">
        <x:v>WBS-3.45</x:v>
      </x:c>
      <x:c r="B73" s="861" t="str">
        <x:v>기능·콘텐츠·모델 구현</x:v>
      </x:c>
      <x:c r="C73" s="862" t="str">
        <x:v>가상4주 기록·평가 입력 생성 구현</x:v>
      </x:c>
      <x:c r="D73" s="862" t="str">
        <x:f>'시트1'!D79&amp;CHAR(10)&amp;"협업: 김태윤, 최성욱"&amp;CHAR(10)&amp;"전반 관리: 김태윤(PM), 김동섭(APM)"</x:f>
        <x:v>최인영
협업: 김태윤, 최성욱
전반 관리: 김태윤(PM), 김동섭(APM)</x:v>
      </x:c>
      <x:c r="E73" s="862" t="str">
        <x:v>WBS-3.37, WBS-3.43</x:v>
      </x:c>
      <x:c r="F73" s="862" t="str">
        <x:v>FAD-07, FAR-07, FBF-05, FBF-06</x:v>
      </x:c>
      <x:c r="G73" s="862" t="str">
        <x:v>가상5~10명×4주 fixture·기대값</x:v>
      </x:c>
      <x:c r="H73" s="862" t="str">
        <x:v>가상5~10명×4주의 정답형/열린형·최초/수정 답·힌트·choice_result·이유/사실 일치·recommendations·쓰기 집계·기간/권한/삭제/미수집 사례와 기대값을 생성 코드로 준비한다. 실제 실행 검증은4단계다.</x:v>
      </x:c>
      <x:c r="I73" s="862" t="str">
        <x:v>실제 아동 데이터·AI Hub 원문·Claude 출력의 모델 학습 반입 금지. 실제 실행 검증은4단계.</x:v>
      </x:c>
    </x:row>
    <x:row r="74" ht="100" customHeight="1">
      <x:c r="A74" s="860" t="str">
        <x:v>WBS-3.36</x:v>
      </x:c>
      <x:c r="B74" s="861" t="str">
        <x:v>기능·콘텐츠·모델 구현</x:v>
      </x:c>
      <x:c r="C74" s="862" t="str">
        <x:v>최종 발표·시연 시나리오 초안 작성</x:v>
      </x:c>
      <x:c r="D74" s="862" t="str">
        <x:f>'시트1'!D80&amp;CHAR(10)&amp;"협업: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74" s="862" t="str">
        <x:v>WBS-5.10, WBS-2.13</x:v>
      </x:c>
      <x:c r="F74" s="862" t="str">
        <x:v>기획·관리 작업</x:v>
      </x:c>
      <x:c r="G74" s="862" t="str">
        <x:v>발표 초안·시연 순서·예상 질문</x:v>
      </x:c>
      <x:c r="H74" s="862" t="str">
        <x:v>기능 범위·가상 데이터·실제 구현 상태·검증 예정/결과를 구분한 발표/영상 초안을11/18 준비하고 최종 결과는12/7 갱신한다.</x:v>
      </x:c>
      <x:c r="I74" s="862" t="str">
        <x:v>중간발표 피드백을 반영. 5.19 최종 PT·5.21 영상 제출 전 검증 결과·한계·배포 상태를 갱신.</x:v>
      </x:c>
    </x:row>
    <x:row r="75" ht="100" customHeight="1">
      <x:c r="A75" s="860" t="str">
        <x:v>WBS-3.42</x:v>
      </x:c>
      <x:c r="B75" s="861" t="str">
        <x:v>기능·콘텐츠·모델 구현</x:v>
      </x:c>
      <x:c r="C75" s="862" t="str">
        <x:v>이번 주 저녁 질문 생성·검증</x:v>
      </x:c>
      <x:c r="D75" s="862" t="str">
        <x:f>'시트1'!D81&amp;CHAR(10)&amp;"협업: 황수빈, 최인영"&amp;CHAR(10)&amp;"전반 관리: 김태윤(PM), 김동섭(APM)"</x:f>
        <x:v>최성욱
협업: 황수빈, 최인영
전반 관리: 김태윤(PM), 김동섭(APM)</x:v>
      </x:c>
      <x:c r="E75" s="862" t="str">
        <x:v>WBS-3.39, WBS-3.17</x:v>
      </x:c>
      <x:c r="F75" s="862" t="str">
        <x:v>FAC-17, FBF-14, FAC-10</x:v>
      </x:c>
      <x:c r="G75" s="862" t="str">
        <x:v>질문·인용/출처·실패 상태</x:v>
      </x:c>
      <x:c r="H75" s="862" t="str">
        <x:v>해당 자녀/주간의 근거 기록으로 질문을 생성·저장한다. 원문에 없는 상황·답 대필·정답 유출·자녀 혼입을 제한하고 기록 부족/생성 실패를 구분한다.</x:v>
      </x:c>
      <x:c r="I75" s="862" t="str">
        <x:v>데모에는 상품 등급 차등을 적용하지 않는다. 학부모 화면은3.18 계약을 사용.</x:v>
      </x:c>
    </x:row>
    <x:row r="76" ht="144" customHeight="1">
      <x:c r="A76" s="860" t="str">
        <x:v>WBS-3.32</x:v>
      </x:c>
      <x:c r="B76" s="861" t="str">
        <x:v>기능·콘텐츠·모델 구현</x:v>
      </x:c>
      <x:c r="C76" s="862" t="str">
        <x:v>전체 연결 구현·문서 정리</x:v>
      </x:c>
      <x:c r="D76" s="862" t="str">
        <x:f>'시트1'!D82&amp;CHAR(10)&amp;"협업: 최성욱, 황수빈, 김재현, 김동섭"&amp;CHAR(10)&amp;"전반 관리: 김태윤(PM), 김동섭(APM)"</x:f>
        <x:v>최인영
협업: 최성욱, 황수빈, 김재현, 김동섭
전반 관리: 김태윤(PM), 김동섭(APM)</x:v>
      </x:c>
      <x:c r="E76" s="862" t="str">
        <x:v>WBS-3.9, WBS-3.19, WBS-3.20, WBS-3.21, WBS-3.26, WBS-3.30, WBS-3.31, WBS-3.35, WBS-3.37, WBS-3.38, WBS-3.39, WBS-3.40, WBS-3.41, WBS-3.42, WBS-3.43, WBS-3.44, WBS-3.45, WBS-3.46, WBS-3.47, WBS-3.48</x:v>
      </x:c>
      <x:c r="F76" s="862" t="str">
        <x:v>FFJ-03, FFJ-04, FFJ-05, FAD-05, FAC-11, FBN-11, FBF-20</x:v>
      </x:c>
      <x:c r="G76" s="862" t="str">
        <x:v>연결된 서비스·설정·실행 문서</x:v>
      </x:c>
      <x:c r="H76" s="862" t="str">
        <x:v>11/18까지 전체 구현·설정·콘텐츠·평가 자료·테스트 코드·문서를 마감하고 생산자/소비자·API 오류·이벤트/버전·권한 경로를 연결한다.</x:v>
      </x:c>
      <x:c r="I76" s="862" t="str">
        <x:v>같은 날 완료 작업은 선행 완료→연결 마감 순서. 실제 자동/브라우저/API 검증은11/19부터 일괄 실행. 일정 여유는11/26~12/3 수정 구간에 확보.</x:v>
      </x:c>
    </x:row>
    <x:row r="77" ht="270" customHeight="1">
      <x:c r="A77" s="860" t="str">
        <x:v>WBS-4.1</x:v>
      </x:c>
      <x:c r="B77" s="861" t="str">
        <x:v>최종 일괄 검증·배포·인계</x:v>
      </x:c>
      <x:c r="C77" s="862" t="str">
        <x:v>필수 자동 검증·정적 검사 일괄 실행</x:v>
      </x:c>
      <x:c r="D77" s="862" t="str">
        <x:f>'시트1'!D84&amp;CHAR(10)&amp;"협업: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77" s="862" t="str">
        <x:v>WBS-3.1, WBS-3.2, WBS-3.3, WBS-3.4, WBS-3.5, WBS-3.6, WBS-3.7, WBS-3.8, WBS-3.9, WBS-3.10, WBS-3.11, WBS-3.12, WBS-3.13, WBS-3.14, WBS-3.15, WBS-3.16, WBS-3.17, WBS-3.18, WBS-3.19, WBS-3.20, WBS-3.21, WBS-3.25, WBS-3.26, WBS-3.27, WBS-3.29, WBS-3.30, WBS-3.31, WBS-3.32, WBS-3.33, WBS-3.34, WBS-3.35, WBS-3.36, WBS-3.37, WBS-3.38, WBS-3.39, WBS-3.40, WBS-3.41, WBS-3.42, WBS-3.43, WBS-3.44, WBS-3.45, WBS-3.46, WBS-3.47, WBS-3.48</x:v>
      </x:c>
      <x:c r="F77" s="862" t="str">
        <x:v>FAR-01</x:v>
      </x:c>
      <x:c r="G77" s="862" t="str">
        <x:v>자동 검증·정적 검사 결과</x:v>
      </x:c>
      <x:c r="H77" s="862" t="str">
        <x:v>11/18 전체 구현·설정·테스트 코드 마감 후11/19 필수 자동검증·정적검사·build·경계/실패/권한·diff 검사를 일괄 실행한다.</x:v>
      </x:c>
      <x:c r="I77" s="862" t="str">
        <x:v>명령·환경·실제 API/모의 응답·CI·미실행 범위를 구분. 완료율과 검증 결과를 혼합하지 않는다.</x:v>
      </x:c>
    </x:row>
    <x:row r="78" ht="100" customHeight="1">
      <x:c r="A78" s="860" t="str">
        <x:v>WBS-4.2</x:v>
      </x:c>
      <x:c r="B78" s="861" t="str">
        <x:v>최종 일괄 검증·배포·인계</x:v>
      </x:c>
      <x:c r="C78" s="862" t="str">
        <x:v>모델 품질·독립 사람 평가</x:v>
      </x:c>
      <x:c r="D78" s="862" t="str">
        <x:f>'시트1'!D85&amp;CHAR(10)&amp;"협업: 김동섭, 황수빈, 최성욱"&amp;CHAR(10)&amp;"전반 관리: 김태윤(PM), 김동섭(APM)"</x:f>
        <x:v>김재현
협업: 김동섭, 황수빈, 최성욱
전반 관리: 김태윤(PM), 김동섭(APM)</x:v>
      </x:c>
      <x:c r="E78" s="862" t="str">
        <x:v>WBS-4.1, WBS-3.44, WBS-3.46</x:v>
      </x:c>
      <x:c r="F78" s="862" t="str">
        <x:v>FAR-02, FAR-05, FAC-13, FAC-14, FAC-15, FAC-16</x:v>
      </x:c>
      <x:c r="G78" s="862" t="str">
        <x:v>지표·독립 채점·설명 평가 보고</x:v>
      </x:c>
      <x:c r="H78" s="862" t="str">
        <x:v>김태윤·황수빈이 독립 판정하고 황수빈이 사람/LLM 카파·채점 일치도·시각화를 계산한다. 김재현은 M2 QWK·모델 결과·버전을 정리한다. 보정 미달 시 M2는 AI Hub 전문가 평가만 사용하며 해당 범위 외 수치 판정은 보류한다.</x:v>
      </x:c>
      <x:c r="I78" s="862" t="str">
        <x:v>주 담당 김재현은 모델 평가 총괄, 김태윤은 평가 진행·표본, 황수빈은 독립 판정·일치도 계산. 독립 원판정·불일치·합의 결과를 구분한다. sLLM 평가는 미도입으로 미실행. 기준은10/30 고정. 대표5개 독립평가와4.12의35개 시범풀이는 별개 결과다.</x:v>
      </x:c>
    </x:row>
    <x:row r="79" ht="100" customHeight="1">
      <x:c r="A79" s="860" t="str">
        <x:v>WBS-4.12</x:v>
      </x:c>
      <x:c r="B79" s="861" t="str">
        <x:v>최종 일괄 검증·배포·인계</x:v>
      </x:c>
      <x:c r="C79" s="862" t="str">
        <x:v>35미션 시범 풀이·저학년 집계 검증</x:v>
      </x:c>
      <x:c r="D79" s="862" t="str">
        <x:f>'시트1'!D86&amp;CHAR(10)&amp;"협업: 김태윤, 최성욱, 최인영, 황수빈"&amp;CHAR(10)&amp;"전반 관리: 김태윤(PM), 김동섭(APM)"</x:f>
        <x:v>김동섭
협업: 김태윤, 최성욱, 최인영, 황수빈
전반 관리: 김태윤(PM), 김동섭(APM)</x:v>
      </x:c>
      <x:c r="E79" s="862" t="str">
        <x:v>WBS-4.1, WBS-3.46, WBS-3.48</x:v>
      </x:c>
      <x:c r="F79" s="862" t="str">
        <x:v>FAR-09, FBF-40, FAC-18, FBN-09, FBF-16</x:v>
      </x:c>
      <x:c r="G79" s="862" t="str">
        <x:v>미션별3~5답 시범 결과·개정/보류표</x:v>
      </x:c>
      <x:c r="H79" s="862" t="str">
        <x:v>35개 미션마다 팀원 답3~5개로 요소 추출·힌트·정답 누출·문항 분기·종료를 확인한다(105~175개 입력 계획). 초1~2 정답형 처음/힌트 후 맞힘·열린형 이유/사실 일치 건수와 분모0·중복 요청을 검증한다.</x:v>
      </x:c>
      <x:c r="I79" s="862" t="str">
        <x:v>대표5개100답안의 독립 카파 평가와 목적을 구분하고 시범 통과를 전체 판정 타당성 승인으로 확대하지 않는다. 미달 미션은 수정·보류하고4.6에서 영향 재검증.</x:v>
      </x:c>
    </x:row>
    <x:row r="80" ht="100" customHeight="1">
      <x:c r="A80" s="860" t="str">
        <x:v>WBS-4.3</x:v>
      </x:c>
      <x:c r="B80" s="861" t="str">
        <x:v>최종 일괄 검증·배포·인계</x:v>
      </x:c>
      <x:c r="C80" s="862" t="str">
        <x:v>학생·학부모·관리자 연결 검증</x:v>
      </x:c>
      <x:c r="D80" s="862" t="str">
        <x:f>'시트1'!D87&amp;CHAR(10)&amp;"협업: 황수빈, 최인영, 최성욱"&amp;CHAR(10)&amp;"전반 관리: 김태윤(PM), 김동섭(APM)"</x:f>
        <x:v>김태윤
협업: 황수빈, 최인영, 최성욱
전반 관리: 김태윤(PM), 김동섭(APM)</x:v>
      </x:c>
      <x:c r="E80" s="862" t="str">
        <x:v>WBS-4.1, WBS-4.2, WBS-4.12</x:v>
      </x:c>
      <x:c r="F80" s="862" t="str">
        <x:v>FFJ-03, FFJ-04, FFJ-05, FFJ-06, FFJ-07, FFJ-08, FFJ-09, FFJ-10, FFJ-11, FFH-16, FFJ-28, FAD-06, FFJ-41, FFJ-42, FBF-38, FBF-39, FFH-22, FAC-17, FAR-08</x:v>
      </x:c>
      <x:c r="G80" s="862" t="str">
        <x:v>브라우저·실제 API 연결 결과</x:v>
      </x:c>
      <x:c r="H80" s="862" t="str">
        <x:v>학생→정답형/열린형→힌트/재선택→돌아보기→초1~2 건수/상위학년 지표→저녁질문/학부모 분석을 실제 경로로 확인한다. 동일 성취기준 난도 추천·문항/기준표 버전·근거·권한·저장 실패를 포함한다.</x:v>
      </x:c>
      <x:c r="I80" s="862" t="str">
        <x:v>11/22는 원PDF 활성화일에서 준비/통합 검토일로 조정. 모델 공개 활성화는 평가 통과 범위·4.7 승인 이후.</x:v>
      </x:c>
    </x:row>
    <x:row r="81" ht="100" customHeight="1">
      <x:c r="A81" s="860" t="str">
        <x:v>WBS-4.5</x:v>
      </x:c>
      <x:c r="B81" s="861" t="str">
        <x:v>최종 일괄 검증·배포·인계</x:v>
      </x:c>
      <x:c r="C81" s="862" t="str">
        <x:v>보안·장애·복구·지연 확인</x:v>
      </x:c>
      <x:c r="D81" s="862" t="str">
        <x:f>'시트1'!D88&amp;CHAR(10)&amp;"협업: 김태윤, 최인영, 김재현, 최성욱"&amp;CHAR(10)&amp;"전반 관리: 김태윤(PM), 김동섭(APM)"</x:f>
        <x:v>김동섭
협업: 김태윤, 최인영, 김재현, 최성욱
전반 관리: 김태윤(PM), 김동섭(APM)</x:v>
      </x:c>
      <x:c r="E81" s="862" t="str">
        <x:v>WBS-4.1</x:v>
      </x:c>
      <x:c r="F81" s="862" t="str">
        <x:v>FAR-03, FBN-13, FBN-14, FBN-15, FBN-16, FBN-17, FBN-18, FBN-19, FBN-20, FAC-12, FAR-05, FBN-21, FBN-22, FBN-23</x:v>
      </x:c>
      <x:c r="G81" s="862" t="str">
        <x:v>권한·복구·경보·성능 측정 결과</x:v>
      </x:c>
      <x:c r="H81" s="862" t="str">
        <x:v>Docker·EC2/RDS·외부AI 실패·접근권한·원문 비노출·지연을 측정한다. RDS/스냅샷/S3 복원1회 이상과 삭제 이력 재적용·근거/리포트 연결·구버전 복귀를 확인한다.</x:v>
      </x:c>
      <x:c r="I81" s="862" t="str">
        <x:v>복원 리허설11/24~25. 사용량 로그에학생ID/원문 미저장 확인. 실결제·STT·Kubernetes 검증은 범위제외로 분리.</x:v>
      </x:c>
    </x:row>
    <x:row r="82" ht="100" customHeight="1">
      <x:c r="A82" s="860" t="str">
        <x:v>WBS-4.11</x:v>
      </x:c>
      <x:c r="B82" s="861" t="str">
        <x:v>최종 일괄 검증·배포·인계</x:v>
      </x:c>
      <x:c r="C82" s="862" t="str">
        <x:v>에이전트 연동·근거·종료 조건 검증</x:v>
      </x:c>
      <x:c r="D82" s="862" t="str">
        <x:f>'시트1'!D89&amp;CHAR(10)&amp;"협업: 김태윤, 최인영, 김재현, 황수빈"&amp;CHAR(10)&amp;"전반 관리: 김태윤(PM), 김동섭(APM)"</x:f>
        <x:v>최성욱
협업: 김태윤, 최인영, 김재현, 황수빈
전반 관리: 김태윤(PM), 김동섭(APM)</x:v>
      </x:c>
      <x:c r="E82" s="862" t="str">
        <x:v>WBS-4.1, WBS-4.2, WBS-4.3</x:v>
      </x:c>
      <x:c r="F82" s="862" t="str">
        <x:v>FAR-01, FAR-07, FAD-07, FAC-05, FAC-06, FAC-10, FAC-17</x:v>
      </x:c>
      <x:c r="G82" s="862" t="str">
        <x:v>에이전트 통합 검증·모델 평가 결과</x:v>
      </x:c>
      <x:c r="H82" s="862" t="str">
        <x:v>고정질문50개·리포트20개·되묻기100~200쌍과 실제 도구 호출의 기대값·인용/계산·오류/재시도/종료를 확인한다. 품질 집계·누락/보류·범위별 결과를11/27 보고서에 연결한다.</x:v>
      </x:c>
      <x:c r="I82" s="862" t="str">
        <x:v>최성욱 실행/LLM 출력, 김태윤·황수빈 독립 라벨, 김재현 모델, 최인영 API. 가상평가이며 실제 아동 교육효과 검증이 아님.</x:v>
      </x:c>
    </x:row>
    <x:row r="83" ht="100" customHeight="1">
      <x:c r="A83" s="860" t="str">
        <x:v>WBS-4.6</x:v>
      </x:c>
      <x:c r="B83" s="861" t="str">
        <x:v>최종 일괄 검증·배포·인계</x:v>
      </x:c>
      <x:c r="C83" s="862" t="str">
        <x:v>실패 수정·영향 범위 재검증</x:v>
      </x:c>
      <x:c r="D83" s="862" t="str">
        <x:f>'시트1'!D90&amp;CHAR(10)&amp;"협업: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83" s="862" t="str">
        <x:v>WBS-4.2, WBS-4.3, WBS-4.5, WBS-4.11, WBS-4.12</x:v>
      </x:c>
      <x:c r="F83" s="862" t="str">
        <x:v>기획·관리 작업</x:v>
      </x:c>
      <x:c r="G83" s="862" t="str">
        <x:v>수정 결과와 영향 범위 검증</x:v>
      </x:c>
      <x:c r="H83" s="862" t="str">
        <x:v>11/26~12/3 수정 완충 기간을 확보한다. 실패 수정·콘텐츠/판정 범위 축소 후 실패 항목과 영향 경로만 재검증하고 통과/잔여 한계를 구분한다.</x:v>
      </x:c>
      <x:c r="I83" s="862" t="str">
        <x:v>11/27 에이전트 보고서는 해당 시점 결과와 조치 상태로 제출. 12/4 서비스 보고서 전 결과 확정. 미수행을 통과로 처리하지 않음.</x:v>
      </x:c>
    </x:row>
    <x:row r="84" ht="100" customHeight="1">
      <x:c r="A84" s="860" t="str">
        <x:v>WBS-4.7</x:v>
      </x:c>
      <x:c r="B84" s="861" t="str">
        <x:v>최종 일괄 검증·배포·인계</x:v>
      </x:c>
      <x:c r="C84" s="862" t="str">
        <x:v>범위·모델·배포 승인 판단</x:v>
      </x:c>
      <x:c r="D84" s="862" t="str">
        <x:f>'시트1'!D91&amp;CHAR(10)&amp;"협업: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84" s="862" t="str">
        <x:v>WBS-4.6, WBS-4.12</x:v>
      </x:c>
      <x:c r="F84" s="862" t="str">
        <x:v>FAC-11, FAR-05, FAR-07, FAR-09, FBN-26</x:v>
      </x:c>
      <x:c r="G84" s="862" t="str">
        <x:v>활성화·보류 목록과 승인 기록</x:v>
      </x:c>
      <x:c r="H84" s="862" t="str">
        <x:v>12/4 최종 모델/사용조건·미션 생성검사/검수/시범풀이·대표평가 통과 범위와 잔여 보류를 확인해 공개 승인한다.790개 수집 보고를 전체 태깅/검증 완료로 보지 않는다. 결제·STT·sLLM 제외는 유지한다.</x:v>
      </x:c>
      <x:c r="I84" s="862" t="str">
        <x:v>기준 미달 모델은 비활성·평가 보고서로 정리</x:v>
      </x:c>
    </x:row>
    <x:row r="85" ht="100" customHeight="1">
      <x:c r="A85" s="860" t="str">
        <x:v>WBS-4.8</x:v>
      </x:c>
      <x:c r="B85" s="861" t="str">
        <x:v>최종 일괄 검증·배포·인계</x:v>
      </x:c>
      <x:c r="C85" s="862" t="str">
        <x:v>승인 버전 배포·시연 계정 준비</x:v>
      </x:c>
      <x:c r="D85" s="862" t="str">
        <x:f>'시트1'!D92&amp;CHAR(10)&amp;"협업: 김태윤, 최인영, 김재현"&amp;CHAR(10)&amp;"전반 관리: 김태윤(PM), 김동섭(APM)"</x:f>
        <x:v>김동섭
협업: 김태윤, 최인영, 김재현
전반 관리: 김태윤(PM), 김동섭(APM)</x:v>
      </x:c>
      <x:c r="E85" s="862" t="str">
        <x:v>WBS-4.7</x:v>
      </x:c>
      <x:c r="F85" s="862" t="str">
        <x:v>FBN-14, FBN-15</x:v>
      </x:c>
      <x:c r="G85" s="862" t="str">
        <x:v>배포 URL·가상 시연 계정·복구 버전</x:v>
      </x:c>
      <x:c r="H85" s="862" t="str">
        <x:v>승인된 버전을 배포하고 시연 계정·환경과 복구 기준을 기록한다.</x:v>
      </x:c>
      <x:c r="I85" s="862" t="str">
        <x:v>12/5 사전 배포로12/7 시연 전에 확인·수정 시간을 확보한다. 김동섭 배포/복원, 김태윤 가상 계정 운영.</x:v>
      </x:c>
    </x:row>
    <x:row r="86" ht="100" customHeight="1">
      <x:c r="A86" s="860" t="str">
        <x:v>WBS-4.9</x:v>
      </x:c>
      <x:c r="B86" s="861" t="str">
        <x:v>최종 일괄 검증·배포·인계</x:v>
      </x:c>
      <x:c r="C86" s="862" t="str">
        <x:v>배포 환경의 실제 경로 확인</x:v>
      </x:c>
      <x:c r="D86" s="862" t="str">
        <x:f>'시트1'!D93&amp;CHAR(10)&amp;"협업: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86" s="862" t="str">
        <x:v>WBS-4.8</x:v>
      </x:c>
      <x:c r="F86" s="862" t="str">
        <x:v>FBN-14, FFJ-03, FFJ-04, FFJ-05, FFJ-06, FFJ-07, FFJ-08, FFJ-09, FFJ-10, FFJ-11</x:v>
      </x:c>
      <x:c r="G86" s="862" t="str">
        <x:v>배포 후 연결 확인 결과</x:v>
      </x:c>
      <x:c r="H86" s="862" t="str">
        <x:v>12/6 배포URL에서 가상계정 로그인→학습/쓰기 집계→되묻기→리포트/저녁질문→학부모 질의→관리자 경로를 확인한다.</x:v>
      </x:c>
      <x:c r="I86" s="862" t="str">
        <x:v>로컬/CI/배포 실제 결과를 구분. 12/7 리허설·촬영 전 완료하고 변경 시 영향 범위만 재확인.</x:v>
      </x:c>
    </x:row>
    <x:row r="87" ht="100" customHeight="1">
      <x:c r="A87" s="860" t="str">
        <x:v>WBS-4.10</x:v>
      </x:c>
      <x:c r="B87" s="861" t="str">
        <x:v>최종 일괄 검증·배포·인계</x:v>
      </x:c>
      <x:c r="C87" s="862" t="str">
        <x:v>최종 산출물·미완료 항목 인계</x:v>
      </x:c>
      <x:c r="D87" s="862" t="str">
        <x:f>'시트1'!D94&amp;CHAR(10)&amp;"협업: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87" s="862" t="str">
        <x:v>WBS-4.9</x:v>
      </x:c>
      <x:c r="F87" s="862" t="str">
        <x:v>기획·관리 작업</x:v>
      </x:c>
      <x:c r="G87" s="862" t="str">
        <x:v>요구사항·WBS·실행·평가·운영 인계</x:v>
      </x:c>
      <x:c r="H87" s="862" t="str">
        <x:v>실제 완료·미완료·보류·미배포 상태와 후속 작업을 정리한다.</x:v>
      </x:c>
      <x:c r="I87" s="862" t="str">
        <x:v>동일 일자 내 4.9 완료 후 최종 인계</x:v>
      </x:c>
    </x:row>
    <x:row r="88" ht="100" customHeight="1">
      <x:c r="A88" s="860" t="str">
        <x:v>WBS-5.1</x:v>
      </x:c>
      <x:c r="B88" s="861" t="str">
        <x:v>산출물 제출·발표 (병행)</x:v>
      </x:c>
      <x:c r="C88" s="862" t="str">
        <x:v>요구사항 정의서 제출</x:v>
      </x:c>
      <x:c r="D88" s="862" t="str">
        <x:f>'시트1'!D96&amp;CHAR(10)&amp;"협업: 최인영, 최성욱, 김동섭"&amp;CHAR(10)&amp;"전반 관리: 김태윤(PM), 김동섭(APM)"</x:f>
        <x:v>김태윤
협업: 최인영, 최성욱, 김동섭
전반 관리: 김태윤(PM), 김동섭(APM)</x:v>
      </x:c>
      <x:c r="E88" s="862" t="str">
        <x:v>WBS-1.7</x:v>
      </x:c>
      <x:c r="F88" s="862" t="str">
        <x:v>공식 산출물 일정 S12</x:v>
      </x:c>
      <x:c r="G88" s="862" t="str">
        <x:v>요구사항 정의서</x:v>
      </x:c>
      <x:c r="H88" s="862" t="str">
        <x:v>10/23 제출 이력은 보존하고10/25 개정 v0.4의160개 ID·범위/예외·변경 이력·개정 링크를 추가한다. 실제 재제출은 별도 증거로 확인한다.</x:v>
      </x:c>
      <x:c r="I88" s="862" t="str">
        <x:v>S12 전체 일정 대시보드의 공식 제출 마감. S13 산출물 설명·필수 여부와 대조. 제출 기한은 계획이며 실제 제출·강사 확인 상태는 증빙 확인 후 입력.</x:v>
      </x:c>
    </x:row>
    <x:row r="89" ht="100" customHeight="1">
      <x:c r="A89" s="860" t="str">
        <x:v>WBS-5.2</x:v>
      </x:c>
      <x:c r="B89" s="861" t="str">
        <x:v>산출물 제출·발표 (병행)</x:v>
      </x:c>
      <x:c r="C89" s="862" t="str">
        <x:v>WBS 제출</x:v>
      </x:c>
      <x:c r="D89" s="862" t="str">
        <x:f>'시트1'!D97&amp;CHAR(10)&amp;"협업: 김동섭"&amp;CHAR(10)&amp;"전반 관리: 김태윤(PM), 김동섭(APM)"</x:f>
        <x:v>김태윤
협업: 김동섭
전반 관리: 김태윤(PM), 김동섭(APM)</x:v>
      </x:c>
      <x:c r="E89" s="862" t="str">
        <x:v>WBS-1.7</x:v>
      </x:c>
      <x:c r="F89" s="862" t="str">
        <x:v>공식 산출물 일정 S12</x:v>
      </x:c>
      <x:c r="G89" s="862" t="str">
        <x:v>WBS</x:v>
      </x:c>
      <x:c r="H89" s="862" t="str">
        <x:v>10/16 시작·1주차 10/23 마감·담당·산출물 기한·선후관계와 읽을 수 있는 파일/캡처를 제출한다.</x:v>
      </x:c>
      <x:c r="I89" s="862" t="str">
        <x:v>S12 전체 일정 대시보드의 공식 제출 마감. S13 산출물 설명·필수 여부와 대조. 제출 기한은 계획이며 실제 제출·강사 확인 상태는 증빙 확인 후 입력.</x:v>
      </x:c>
    </x:row>
    <x:row r="90" ht="100" customHeight="1">
      <x:c r="A90" s="860" t="str">
        <x:v>WBS-5.3</x:v>
      </x:c>
      <x:c r="B90" s="861" t="str">
        <x:v>산출물 제출·발표 (병행)</x:v>
      </x:c>
      <x:c r="C90" s="862" t="str">
        <x:v>프로젝트 기획서 제출</x:v>
      </x:c>
      <x:c r="D90" s="862" t="str">
        <x:f>'시트1'!D98&amp;CHAR(10)&amp;"협업: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90" s="862" t="str">
        <x:v>WBS-1.7</x:v>
      </x:c>
      <x:c r="F90" s="862" t="str">
        <x:v>공식 산출물 일정 S12</x:v>
      </x:c>
      <x:c r="G90" s="862" t="str">
        <x:v>프로젝트 기획서</x:v>
      </x:c>
      <x:c r="H90" s="862" t="str">
        <x:v>문제·타겟·해결 흐름·AI 활용 이유·데이터·역할과 범위를 정리해 제출한다.</x:v>
      </x:c>
      <x:c r="I90" s="862" t="str">
        <x:v>S12 전체 일정 대시보드의 공식 제출 마감. S13 산출물 설명·필수 여부와 대조. 제출 기한은 계획이며 실제 제출·강사 확인 상태는 증빙 확인 후 입력.</x:v>
      </x:c>
    </x:row>
    <x:row r="91" ht="100" customHeight="1">
      <x:c r="A91" s="860" t="str">
        <x:v>WBS-5.4</x:v>
      </x:c>
      <x:c r="B91" s="861" t="str">
        <x:v>산출물 제출·발표 (병행)</x:v>
      </x:c>
      <x:c r="C91" s="862" t="str">
        <x:v>수집 데이터 보고서 제출</x:v>
      </x:c>
      <x:c r="D91" s="862" t="str">
        <x:f>'시트1'!D99&amp;CHAR(10)&amp;"협업: 김재현, 최성욱"&amp;CHAR(10)&amp;"전반 관리: 김태윤(PM), 김동섭(APM)"</x:f>
        <x:v>김동섭
협업: 김재현, 최성욱
전반 관리: 김태윤(PM), 김동섭(APM)</x:v>
      </x:c>
      <x:c r="E91" s="862" t="str">
        <x:v>WBS-1.6</x:v>
      </x:c>
      <x:c r="F91" s="862" t="str">
        <x:v>공식 산출물 일정 S12</x:v>
      </x:c>
      <x:c r="G91" s="862" t="str">
        <x:v>수집 데이터 보고서</x:v>
      </x:c>
      <x:c r="H91" s="862" t="str">
        <x:v>확보 데이터의 종류·규모·출처·수집 방법·권리·개인정보·품질을 기록한다. 미확보 후보와 확보분을 구분한다.</x:v>
      </x:c>
      <x:c r="I91" s="862" t="str">
        <x:v>S12 전체 일정 대시보드의 공식 제출 마감. S13 산출물 설명·필수 여부와 대조. 제출 기한은 계획이며 실제 제출·강사 확인 상태는 증빙 확인 후 입력.</x:v>
      </x:c>
    </x:row>
    <x:row r="92" ht="100" customHeight="1">
      <x:c r="A92" s="860" t="str">
        <x:v>WBS-5.5</x:v>
      </x:c>
      <x:c r="B92" s="861" t="str">
        <x:v>산출물 제출·발표 (병행)</x:v>
      </x:c>
      <x:c r="C92" s="862" t="str">
        <x:v>AI 시스템 아키텍처 제출</x:v>
      </x:c>
      <x:c r="D92" s="862" t="str">
        <x:f>'시트1'!D100&amp;CHAR(10)&amp;"협업: 최인영, 김재현, 김동섭"&amp;CHAR(10)&amp;"전반 관리: 김태윤(PM), 김동섭(APM)"</x:f>
        <x:v>최성욱
협업: 최인영, 김재현, 김동섭
전반 관리: 김태윤(PM), 김동섭(APM)</x:v>
      </x:c>
      <x:c r="E92" s="862" t="str">
        <x:v>WBS-2.2, WBS-2.3, WBS-2.7</x:v>
      </x:c>
      <x:c r="F92" s="862" t="str">
        <x:v>공식 산출물 일정 S12</x:v>
      </x:c>
      <x:c r="G92" s="862" t="str">
        <x:v>AI 시스템 아키텍처(멀티 에이전트)</x:v>
      </x:c>
      <x:c r="H92" s="862" t="str">
        <x:v>사용자→라우팅·분석·판정·생성→저장→응답의 역할·입출력·오류 경로를 시각화한다.</x:v>
      </x:c>
      <x:c r="I92" s="862" t="str">
        <x:v>S12 전체 일정 대시보드의 공식 제출 마감. S13 산출물 설명·필수 여부와 대조. 제출 기한은 계획이며 실제 제출·강사 확인 상태는 증빙 확인 후 입력.</x:v>
      </x:c>
    </x:row>
    <x:row r="93" ht="100" customHeight="1">
      <x:c r="A93" s="860" t="str">
        <x:v>WBS-5.6</x:v>
      </x:c>
      <x:c r="B93" s="861" t="str">
        <x:v>산출물 제출·발표 (병행)</x:v>
      </x:c>
      <x:c r="C93" s="862" t="str">
        <x:v>화면설계서 제출</x:v>
      </x:c>
      <x:c r="D93" s="862" t="str">
        <x:f>'시트1'!D101&amp;CHAR(10)&amp;"협업: 최인영, 최성욱"&amp;CHAR(10)&amp;"전반 관리: 김태윤(PM), 김동섭(APM)"</x:f>
        <x:v>황수빈
협업: 최인영, 최성욱
전반 관리: 김태윤(PM), 김동섭(APM)</x:v>
      </x:c>
      <x:c r="E93" s="862" t="str">
        <x:v>WBS-2.1, WBS-2.2</x:v>
      </x:c>
      <x:c r="F93" s="862" t="str">
        <x:v>공식 산출물 일정 S12</x:v>
      </x:c>
      <x:c r="G93" s="862" t="str">
        <x:v>화면설계서</x:v>
      </x:c>
      <x:c r="H93" s="862" t="str">
        <x:v>학생·학부모·관리자 화면 ID·경로·요구사항·입출력·예외·권한과 이동 흐름을 제출한다.</x:v>
      </x:c>
      <x:c r="I93" s="862" t="str">
        <x:v>S12 전체 일정 대시보드의 공식 제출 마감. S13 산출물 설명·필수 여부와 대조. 제출 기한은 계획이며 실제 제출·강사 확인 상태는 증빙 확인 후 입력.</x:v>
      </x:c>
    </x:row>
    <x:row r="94" ht="100" customHeight="1">
      <x:c r="A94" s="860" t="str">
        <x:v>WBS-5.7</x:v>
      </x:c>
      <x:c r="B94" s="861" t="str">
        <x:v>산출물 제출·발표 (병행)</x:v>
      </x:c>
      <x:c r="C94" s="862" t="str">
        <x:v>시스템 구성도 제출</x:v>
      </x:c>
      <x:c r="D94" s="862" t="str">
        <x:f>'시트1'!D102&amp;CHAR(10)&amp;"협업: 최인영, 김재현"&amp;CHAR(10)&amp;"전반 관리: 김태윤(PM), 김동섭(APM)"</x:f>
        <x:v>김동섭
협업: 최인영, 김재현
전반 관리: 김태윤(PM), 김동섭(APM)</x:v>
      </x:c>
      <x:c r="E94" s="862" t="str">
        <x:v>WBS-2.7</x:v>
      </x:c>
      <x:c r="F94" s="862" t="str">
        <x:v>공식 산출물 일정 S12</x:v>
      </x:c>
      <x:c r="G94" s="862" t="str">
        <x:v>시스템 구성도</x:v>
      </x:c>
      <x:c r="H94" s="862" t="str">
        <x:v>클라우드·프론트·서버·DB·모델 서빙·비밀 관리의 연결과 기술 버전을 정리한다.</x:v>
      </x:c>
      <x:c r="I94" s="862" t="str">
        <x:v>S12 전체 일정 대시보드의 공식 제출 마감. S13 산출물 설명·필수 여부와 대조. 제출 기한은 계획이며 실제 제출·강사 확인 상태는 증빙 확인 후 입력.</x:v>
      </x:c>
    </x:row>
    <x:row r="95" ht="100" customHeight="1">
      <x:c r="A95" s="860" t="str">
        <x:v>WBS-5.10</x:v>
      </x:c>
      <x:c r="B95" s="861" t="str">
        <x:v>산출물 제출·발표 (병행)</x:v>
      </x:c>
      <x:c r="C95" s="862" t="str">
        <x:v>중간 발표자료 작성·제출·발표</x:v>
      </x:c>
      <x:c r="D95" s="862" t="str">
        <x:f>'시트1'!D103&amp;CHAR(10)&amp;"협업: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95" s="862" t="str">
        <x:v>WBS-2.1, WBS-2.2, WBS-2.3, WBS-2.4</x:v>
      </x:c>
      <x:c r="F95" s="862" t="str">
        <x:v>공식 산출물 일정 S12</x:v>
      </x:c>
      <x:c r="G95" s="862" t="str">
        <x:v>중간 발표 PT 자료</x:v>
      </x:c>
      <x:c r="H95" s="862" t="str">
        <x:v>11/06 중간발표. 문제·서비스 흐름·설계·데이터 확보 현황·MVP 보고와 미구현·향후 일정을 구분해 작성·발표한다.</x:v>
      </x:c>
      <x:c r="I95" s="862" t="str">
        <x:v>S12 전체 일정 대시보드의 공식 제출 마감. S13 산출물 설명·필수 여부와 대조. 제출 기한은 계획이며 실제 제출·강사 확인 상태는 증빙 확인 후 입력.</x:v>
      </x:c>
    </x:row>
    <x:row r="96" ht="100" customHeight="1">
      <x:c r="A96" s="860" t="str">
        <x:v>WBS-5.8</x:v>
      </x:c>
      <x:c r="B96" s="861" t="str">
        <x:v>산출물 제출·발표 (병행)</x:v>
      </x:c>
      <x:c r="C96" s="862" t="str">
        <x:v>DB/저장소 설계 문서 제출</x:v>
      </x:c>
      <x:c r="D96" s="862" t="str">
        <x:f>'시트1'!D104&amp;CHAR(10)&amp;"협업: 최성욱"&amp;CHAR(10)&amp;"전반 관리: 김태윤(PM), 김동섭(APM)"</x:f>
        <x:v>최인영
협업: 최성욱
전반 관리: 김태윤(PM), 김동섭(APM)</x:v>
      </x:c>
      <x:c r="E96" s="862" t="str">
        <x:v>WBS-3.34</x:v>
      </x:c>
      <x:c r="F96" s="862" t="str">
        <x:v>공식 산출물 일정 S12</x:v>
      </x:c>
      <x:c r="G96" s="862" t="str">
        <x:v>데이터베이스/저장소 설계 문서</x:v>
      </x:c>
      <x:c r="H96" s="862" t="str">
        <x:v>ERD·DDL·테이블 명세·비정형 저장 목적·입출력·보안·무결성을 제출한다.</x:v>
      </x:c>
      <x:c r="I96" s="862" t="str">
        <x:v>S12 전체 일정 대시보드의 공식 제출 마감. S13 산출물 설명·필수 여부와 대조. 제출 기한은 계획이며 실제 제출·강사 확인 상태는 증빙 확인 후 입력.</x:v>
      </x:c>
    </x:row>
    <x:row r="97" ht="100" customHeight="1">
      <x:c r="A97" s="863" t="str">
        <x:v>WBS-5.9</x:v>
      </x:c>
      <x:c r="B97" s="863" t="str">
        <x:v>산출물 제출·발표 (병행)</x:v>
      </x:c>
      <x:c r="C97" s="863" t="str">
        <x:v>데이터 전처리 결과서 제출</x:v>
      </x:c>
      <x:c r="D97" s="863" t="str">
        <x:f>'시트1'!D105&amp;CHAR(10)&amp;"협업: 김동섭, 최성욱"&amp;CHAR(10)&amp;"전반 관리: 김태윤(PM), 김동섭(APM)"</x:f>
        <x:v>김재현
협업: 김동섭, 최성욱
전반 관리: 김태윤(PM), 김동섭(APM)</x:v>
      </x:c>
      <x:c r="E97" s="863" t="str">
        <x:v>WBS-3.33</x:v>
      </x:c>
      <x:c r="F97" s="863" t="str">
        <x:v>공식 산출물 일정 S12</x:v>
      </x:c>
      <x:c r="G97" s="863" t="str">
        <x:v>데이터 전처리 결과서</x:v>
      </x:c>
      <x:c r="H97" s="863" t="str">
        <x:v>처리 기준·전후 건수·코드·스키마·분할·재현 방법을 결과서로 제출한다.</x:v>
      </x:c>
      <x:c r="I97" s="863" t="str">
        <x:v>S12 전체 일정 대시보드의 공식 제출 마감. S13 산출물 설명·필수 여부와 대조. 제출 기한은 계획이며 실제 제출·강사 확인 상태는 증빙 확인 후 입력.</x:v>
      </x:c>
    </x:row>
    <x:row r="98" ht="100" customHeight="1">
      <x:c r="A98" s="862" t="str">
        <x:v>WBS-5.11</x:v>
      </x:c>
      <x:c r="B98" s="862" t="str">
        <x:v>산출물 제출·발표 (병행)</x:v>
      </x:c>
      <x:c r="C98" s="862" t="str">
        <x:v>ML/DL 학습결과서 제출</x:v>
      </x:c>
      <x:c r="D98" s="862" t="str">
        <x:f>'시트1'!D106&amp;CHAR(10)&amp;"협업: 김동섭, 황수빈"&amp;CHAR(10)&amp;"전반 관리: 김태윤(PM), 김동섭(APM)"</x:f>
        <x:v>김재현
협업: 김동섭, 황수빈
전반 관리: 김태윤(PM), 김동섭(APM)</x:v>
      </x:c>
      <x:c r="E98" s="862" t="str">
        <x:v>WBS-3.27</x:v>
      </x:c>
      <x:c r="F98" s="862" t="str">
        <x:v>공식 산출물 일정 S12</x:v>
      </x:c>
      <x:c r="G98" s="862" t="str">
        <x:v>머신러닝/딥러닝 학습결과서</x:v>
      </x:c>
      <x:c r="H98" s="862" t="str">
        <x:v>2종 이상 비교·환경·설정·학습/평가 데이터·선정 사유·한계와 실제 학습 결과를 제출한다.</x:v>
      </x:c>
      <x:c r="I98" s="862" t="str">
        <x:v>S12 전체 일정 대시보드의 공식 제출 마감. S13 산출물 설명·필수 여부와 대조. 제출 기한은 계획이며 실제 제출·강사 확인 상태는 증빙 확인 후 입력.</x:v>
      </x:c>
    </x:row>
    <x:row r="99" ht="100" customHeight="1">
      <x:c r="A99" s="861" t="str">
        <x:v>WBS-5.12</x:v>
      </x:c>
      <x:c r="B99" s="861" t="str">
        <x:v>산출물 제출·발표 (병행)</x:v>
      </x:c>
      <x:c r="C99" s="861" t="str">
        <x:v>학습한 ML/DL 모델 제출</x:v>
      </x:c>
      <x:c r="D99" s="863" t="str">
        <x:f>'시트1'!D107&amp;CHAR(10)&amp;"협업: 최인영, 최성욱"&amp;CHAR(10)&amp;"전반 관리: 김태윤(PM), 김동섭(APM)"</x:f>
        <x:v>김재현
협업: 최인영, 최성욱
전반 관리: 김태윤(PM), 김동섭(APM)</x:v>
      </x:c>
      <x:c r="E99" s="863" t="str">
        <x:v>WBS-3.27</x:v>
      </x:c>
      <x:c r="F99" s="863" t="str">
        <x:v>공식 산출물 일정 S12</x:v>
      </x:c>
      <x:c r="G99" s="863" t="str">
        <x:v>학습한 ML/DL 모델</x:v>
      </x:c>
      <x:c r="H99" s="863" t="str">
        <x:v>모델 파일·입출력·전처리 의존성·저장/로드·버전과 연계 방법을 제출한다.</x:v>
      </x:c>
      <x:c r="I99" s="863" t="str">
        <x:v>S12 전체 일정 대시보드의 공식 제출 마감. S13 산출물 설명·필수 여부와 대조. 제출 기한은 계획이며 실제 제출·강사 확인 상태는 증빙 확인 후 입력.</x:v>
      </x:c>
    </x:row>
    <x:row r="100" ht="100" customHeight="1">
      <x:c r="A100" s="862" t="str">
        <x:v>WBS-5.13</x:v>
      </x:c>
      <x:c r="B100" s="862" t="str">
        <x:v>산출물 제출·발표 (병행)</x:v>
      </x:c>
      <x:c r="C100" s="862" t="str">
        <x:v>검색 저장소 구축 결과서 제출</x:v>
      </x:c>
      <x:c r="D100" s="862" t="str">
        <x:f>'시트1'!D108&amp;CHAR(10)&amp;"협업: 김재현, 최인영"&amp;CHAR(10)&amp;"전반 관리: 김태윤(PM), 김동섭(APM)"</x:f>
        <x:v>최성욱
협업: 김재현, 최인영
전반 관리: 김태윤(PM), 김동섭(APM)</x:v>
      </x:c>
      <x:c r="E100" s="862" t="str">
        <x:v>WBS-3.35</x:v>
      </x:c>
      <x:c r="F100" s="862" t="str">
        <x:v>공식 산출물 일정 S12</x:v>
      </x:c>
      <x:c r="G100" s="862" t="str">
        <x:v>벡터DB/GraphDB 구축 결과서</x:v>
      </x:c>
      <x:c r="H100" s="862" t="str">
        <x:v>11/13까지선정 저장소의 목적·스키마·구축 코드·실제 수행한 학습/검색 실험 범위·미검증/미완료를 기록한다. 서비스 연결 실행은4.11과 구분한다.</x:v>
      </x:c>
      <x:c r="I100" s="862" t="str">
        <x:v>S12 전체 일정 대시보드의 공식 제출 마감. S13 산출물 설명·필수 여부와 대조. 제출 기한은 계획이며 실제 제출·강사 확인 상태는 증빙 확인 후 입력.</x:v>
      </x:c>
    </x:row>
    <x:row r="101" ht="100" customHeight="1">
      <x:c r="A101" s="862" t="str">
        <x:v>WBS-5.14</x:v>
      </x:c>
      <x:c r="B101" s="862" t="str">
        <x:v>산출물 제출·발표 (병행)</x:v>
      </x:c>
      <x:c r="C101" s="862" t="str">
        <x:v>LLM 활용 소프트웨어 제출</x:v>
      </x:c>
      <x:c r="D101" s="862" t="str">
        <x:f>'시트1'!D109&amp;CHAR(10)&amp;"협업: 김재현, 최인영"&amp;CHAR(10)&amp;"전반 관리: 김태윤(PM), 김동섭(APM)"</x:f>
        <x:v>최성욱
협업: 김재현, 최인영
전반 관리: 김태윤(PM), 김동섭(APM)</x:v>
      </x:c>
      <x:c r="E101" s="862" t="str">
        <x:v>WBS-3.11, WBS-3.16, WBS-3.17, WBS-3.30</x:v>
      </x:c>
      <x:c r="F101" s="862" t="str">
        <x:v>공식 산출물 일정 S12</x:v>
      </x:c>
      <x:c r="G101" s="862" t="str">
        <x:v>LLM 활용 소프트웨어</x:v>
      </x:c>
      <x:c r="H101" s="862" t="str">
        <x:v>LLM 처리·입출력·근거·분석 대화·리포트 연동 버전의 코드·실행 방법과 미완료 범위를 제출한다. 전체 서비스 최종본은 12/08.</x:v>
      </x:c>
      <x:c r="I101" s="862" t="str">
        <x:v>S12 전체 일정 대시보드의 공식 제출 마감. S13 산출물 설명·필수 여부와 대조. 제출 기한은 계획이며 실제 제출·강사 확인 상태는 증빙 확인 후 입력.</x:v>
      </x:c>
    </x:row>
    <x:row r="102" ht="100" customHeight="1">
      <x:c r="A102" s="862" t="str">
        <x:v>WBS-5.16</x:v>
      </x:c>
      <x:c r="B102" s="862" t="str">
        <x:v>산출물 제출·발표 (병행)</x:v>
      </x:c>
      <x:c r="C102" s="862" t="str">
        <x:v>에이전트 테스트 보고서 제출</x:v>
      </x:c>
      <x:c r="D102" s="862" t="str">
        <x:f>'시트1'!D110&amp;CHAR(10)&amp;"협업: 김태윤, 김재현, 황수빈, 최인영"&amp;CHAR(10)&amp;"전반 관리: 김태윤(PM), 김동섭(APM)"</x:f>
        <x:v>최성욱
협업: 김태윤, 김재현, 황수빈, 최인영
전반 관리: 김태윤(PM), 김동섭(APM)</x:v>
      </x:c>
      <x:c r="E102" s="862" t="str">
        <x:v>WBS-4.11</x:v>
      </x:c>
      <x:c r="F102" s="862" t="str">
        <x:v>공식 산출물 일정 S12</x:v>
      </x:c>
      <x:c r="G102" s="862" t="str">
        <x:v>멀티 에이전트 테스트 계획 및 결과 보고서</x:v>
      </x:c>
      <x:c r="H102" s="862" t="str">
        <x:v>11/27까지4.11 실행 결과·모델 범위·질문/리포트/되묻기 품질·미검증·실패·수정 상태를 제출한다. 미도입sLLM은 미실행으로 기록한다.</x:v>
      </x:c>
      <x:c r="I102" s="862" t="str">
        <x:v>S12 전체 일정 대시보드의 공식 제출 마감. S13 산출물 설명·필수 여부와 대조. 제출 기한은 계획이며 실제 제출·강사 확인 상태는 증빙 확인 후 입력.</x:v>
      </x:c>
    </x:row>
    <x:row r="103" ht="100" customHeight="1">
      <x:c r="A103" s="862" t="str">
        <x:v>WBS-5.17</x:v>
      </x:c>
      <x:c r="B103" s="862" t="str">
        <x:v>산출물 제출·발표 (병행)</x:v>
      </x:c>
      <x:c r="C103" s="862" t="str">
        <x:v>서비스 테스트 보고서 제출</x:v>
      </x:c>
      <x:c r="D103" s="862" t="str">
        <x:f>'시트1'!D111&amp;CHAR(10)&amp;"협업: 김동섭, 최인영, 황수빈, 최성욱"&amp;CHAR(10)&amp;"전반 관리: 김태윤(PM), 김동섭(APM)"</x:f>
        <x:v>김태윤
협업: 김동섭, 최인영, 황수빈, 최성욱
전반 관리: 김태윤(PM), 김동섭(APM)</x:v>
      </x:c>
      <x:c r="E103" s="862" t="str">
        <x:v>WBS-4.6</x:v>
      </x:c>
      <x:c r="F103" s="862" t="str">
        <x:v>공식 산출물 일정 S12</x:v>
      </x:c>
      <x:c r="G103" s="862" t="str">
        <x:v>서비스 테스트 계획 및 결과 보고서</x:v>
      </x:c>
      <x:c r="H103" s="862" t="str">
        <x:v>12/4까지 사용자 E2E·교육 판정·경계·보안·복구·영향 재검증·잔여 한계를 보고한다. 결제/STT/sLLM은 범위 제외와 미실행을 명시한다.</x:v>
      </x:c>
      <x:c r="I103" s="862" t="str">
        <x:v>S12 전체 일정 대시보드의 공식 제출 마감. S13 산출물 설명·필수 여부와 대조. 제출 기한은 계획이며 실제 제출·강사 확인 상태는 증빙 확인 후 입력.</x:v>
      </x:c>
    </x:row>
    <x:row r="104" ht="100" customHeight="1">
      <x:c r="A104" s="862" t="str">
        <x:v>WBS-5.19</x:v>
      </x:c>
      <x:c r="B104" s="862" t="str">
        <x:v>산출물 제출·발표 (병행)</x:v>
      </x:c>
      <x:c r="C104" s="862" t="str">
        <x:v>최종 발표자료 확정·제출·발표</x:v>
      </x:c>
      <x:c r="D104" s="862" t="str">
        <x:f>'시트1'!D112&amp;CHAR(10)&amp;"협업: 김동섭, 김재현, 최인영, 최성욱, 황수빈"&amp;CHAR(10)&amp;"전반 관리: 김태윤(PM), 김동섭(APM)"</x:f>
        <x:v>김태윤
협업: 김동섭, 김재현, 최인영, 최성욱, 황수빈
전반 관리: 김태윤(PM), 김동섭(APM)</x:v>
      </x:c>
      <x:c r="E104" s="862" t="str">
        <x:v>WBS-3.36, WBS-4.6</x:v>
      </x:c>
      <x:c r="F104" s="862" t="str">
        <x:v>공식 산출물 일정 S12</x:v>
      </x:c>
      <x:c r="G104" s="862" t="str">
        <x:v>최종 발표 PT 자료</x:v>
      </x:c>
      <x:c r="H104" s="862" t="str">
        <x:v>12/08 최종발표. 실제 수치·기능·한계·미완료·운영 상태로 자료를 갱신하고 기술·서비스 질의응답을 준비한다.</x:v>
      </x:c>
      <x:c r="I104" s="862" t="str">
        <x:v>S12 전체 일정 대시보드의 공식 제출 마감. S13 산출물 설명·필수 여부와 대조. 제출 기한은 계획이며 실제 제출·강사 확인 상태는 증빙 확인 후 입력.</x:v>
      </x:c>
    </x:row>
    <x:row r="105" ht="100" customHeight="1">
      <x:c r="A105" s="862" t="str">
        <x:v>WBS-5.21</x:v>
      </x:c>
      <x:c r="B105" s="862" t="str">
        <x:v>산출물 제출·발표 (병행)</x:v>
      </x:c>
      <x:c r="C105" s="862" t="str">
        <x:v>시연영상 촬영·확정·제출</x:v>
      </x:c>
      <x:c r="D105" s="862" t="str">
        <x:f>'시트1'!D113&amp;CHAR(10)&amp;"협업: 황수빈, 김동섭, 최인영, 최성욱"&amp;CHAR(10)&amp;"전반 관리: 김태윤(PM), 김동섭(APM)"</x:f>
        <x:v>김태윤
협업: 황수빈, 김동섭, 최인영, 최성욱
전반 관리: 김태윤(PM), 김동섭(APM)</x:v>
      </x:c>
      <x:c r="E105" s="862" t="str">
        <x:v>WBS-3.36, WBS-4.9</x:v>
      </x:c>
      <x:c r="F105" s="862" t="str">
        <x:v>공식 산출물 일정 S12</x:v>
      </x:c>
      <x:c r="G105" s="862" t="str">
        <x:v>시연영상</x:v>
      </x:c>
      <x:c r="H105" s="862" t="str">
        <x:v>12/7 배포경로 리허설·영상 촬영을 마치고12/8 실제 결과·기능·한계로 확정/제출한다.</x:v>
      </x:c>
      <x:c r="I105" s="862" t="str">
        <x:v>S12 전체 일정 대시보드의 공식 제출 마감. S13 산출물 설명·필수 여부와 대조. 제출 기한은 계획이며 실제 제출·강사 확인 상태는 증빙 확인 후 입력.</x:v>
      </x:c>
    </x:row>
    <x:row r="106" ht="100" customHeight="1">
      <x:c r="A106" s="861" t="str">
        <x:v>WBS-5.18</x:v>
      </x:c>
      <x:c r="B106" s="861" t="str">
        <x:v>산출물 제출·발표 (병행)</x:v>
      </x:c>
      <x:c r="C106" s="861" t="str">
        <x:v>LLM 연동 웹 애플리케이션 제출</x:v>
      </x:c>
      <x:c r="D106" s="861" t="str">
        <x:f>'시트1'!D114&amp;CHAR(10)&amp;"협업: 김동섭, 최성욱, 황수빈"&amp;CHAR(10)&amp;"전반 관리: 김태윤(PM), 김동섭(APM)"</x:f>
        <x:v>최인영
협업: 김동섭, 최성욱, 황수빈
전반 관리: 김태윤(PM), 김동섭(APM)</x:v>
      </x:c>
      <x:c r="E106" s="861" t="str">
        <x:v>WBS-4.9</x:v>
      </x:c>
      <x:c r="F106" s="861" t="str">
        <x:v>공식 산출물 일정 S12</x:v>
      </x:c>
      <x:c r="G106" s="861" t="str">
        <x:v>개발된 LLM 연동 웹 애플리케이션</x:v>
      </x:c>
      <x:c r="H106" s="861" t="str">
        <x:v>승인 버전의 실제 배포 URL·실행 문서·권한·핵심 사용자 경로와 실제 검증 결과를 제출한다.</x:v>
      </x:c>
      <x:c r="I106" s="861" t="str">
        <x:v>S12 전체 일정 대시보드의 공식 제출 마감. S13 산출물 설명·필수 여부와 대조. 제출 기한은 계획이며 실제 제출·강사 확인 상태는 증빙 확인 후 입력.</x:v>
      </x:c>
    </x:row>
    <x:row r="107" ht="100" customHeight="1">
      <x:c r="A107" s="862" t="str">
        <x:v>WBS-5.20</x:v>
      </x:c>
      <x:c r="B107" s="862" t="str">
        <x:v>산출물 제출·발표 (병행)</x:v>
      </x:c>
      <x:c r="C107" s="862" t="str">
        <x:v>프로젝트 개발 소스코드 제출</x:v>
      </x:c>
      <x:c r="D107" s="862" t="str">
        <x:f>'시트1'!D115&amp;CHAR(10)&amp;"협업: 김동섭, 김재현, 최인영, 최성욱, 황수빈"&amp;CHAR(10)&amp;"전반 관리: 김태윤(PM), 김동섭(APM)"</x:f>
        <x:v>최인영
협업: 김동섭, 김재현, 최인영, 최성욱, 황수빈
전반 관리: 김태윤(PM), 김동섭(APM)</x:v>
      </x:c>
      <x:c r="E107" s="862" t="str">
        <x:v>WBS-4.9</x:v>
      </x:c>
      <x:c r="F107" s="862" t="str">
        <x:v>공식 산출물 일정 S12</x:v>
      </x:c>
      <x:c r="G107" s="862" t="str">
        <x:v>프로젝트 개발 소스코드</x:v>
      </x:c>
      <x:c r="H107" s="862" t="str">
        <x:v>제출 버전·저장소·실행 환경·의존성·사용법과 비밀 정보 비노출을 확인한다. 이 WBS 작성 작업에서 실제 push·제출을 수행한 의미는 아님.</x:v>
      </x:c>
      <x:c r="I107" s="862" t="str">
        <x:v>S12 전체 일정 대시보드의 공식 제출 마감. S13 산출물 설명·필수 여부와 대조. 제출 기한은 계획이며 실제 제출·강사 확인 상태는 증빙 확인 후 입력.</x:v>
      </x:c>
    </x:row>
    <x:row r="108" ht="100" customHeight="1">
      <x:c r="A108" s="863"/>
      <x:c r="B108" s="863"/>
      <x:c r="C108" s="863"/>
      <x:c r="D108" s="863"/>
      <x:c r="E108" s="863"/>
      <x:c r="F108" s="863"/>
      <x:c r="G108" s="863"/>
      <x:c r="H108" s="863"/>
      <x:c r="I108" s="863"/>
    </x:row>
    <x:row r="109" ht="28" customHeight="1">
      <x:c r="A109" s="907" t="str">
        <x:v>보류·확장 7개 — 일정 미배정·현재 실행범위에서 제외</x:v>
      </x:c>
      <x:c r="B109" s="908"/>
      <x:c r="C109" s="908"/>
      <x:c r="D109" s="908"/>
      <x:c r="E109" s="908"/>
      <x:c r="F109" s="908"/>
      <x:c r="G109" s="908"/>
      <x:c r="H109" s="908"/>
      <x:c r="I109" s="908"/>
    </x:row>
    <x:row r="110" ht="100" customHeight="1">
      <x:c r="A110" s="4" t="s">
        <x:v>10</x:v>
      </x:c>
      <x:c r="B110" s="4" t="s">
        <x:v>17</x:v>
      </x:c>
      <x:c r="C110" s="4" t="s">
        <x:v>11</x:v>
      </x:c>
      <x:c r="D110" s="4" t="s">
        <x:v>18</x:v>
      </x:c>
      <x:c r="E110" s="4" t="s">
        <x:v>19</x:v>
      </x:c>
      <x:c r="F110" s="4" t="s">
        <x:v>20</x:v>
      </x:c>
      <x:c r="G110" s="4" t="s">
        <x:v>21</x:v>
      </x:c>
      <x:c r="H110" s="4" t="s">
        <x:v>22</x:v>
      </x:c>
      <x:c r="I110" s="4" t="s">
        <x:v>23</x:v>
      </x:c>
    </x:row>
    <x:row r="111" ht="100" customHeight="1">
      <x:c r="A111" s="874" t="str">
        <x:v>WBS-2.8</x:v>
      </x:c>
      <x:c r="B111" s="874" t="str">
        <x:v>화면·데이터·연동 설계</x:v>
      </x:c>
      <x:c r="C111" s="874" t="str">
        <x:v>[확장] PG 테스트·구독 연동 설계</x:v>
      </x:c>
      <x:c r="D111" s="874" t="str">
        <x:f>'시트1'!D119&amp;CHAR(10)&amp;"협업: 황수빈, 김태윤"&amp;CHAR(10)&amp;"전반 관리: 김태윤(PM), 김동섭(APM)"</x:f>
        <x:v>최인영
협업: 황수빈, 김태윤
전반 관리: 김태윤(PM), 김동섭(APM)</x:v>
      </x:c>
      <x:c r="E111" s="874" t="str">
        <x:v>범위 재승인 후 착수</x:v>
      </x:c>
      <x:c r="F111" s="874" t="str">
        <x:v>FFH-19, FFJ-32, FBF-30, FBF-31, FBF-32, FBF-33, FFH-20, FFJ-33, FFJ-34, FBF-34, FBN-25, FFH-21, FBF-35, FBF-36, FAR-06</x:v>
      </x:c>
      <x:c r="G111" s="874" t="str">
        <x:v>PG 테스트 연동·구독 상태 설계</x:v>
      </x:c>
      <x:c r="H111" s="874" t="str">
        <x:v>이번 12/7 데모 범위에서 제외한다. 재도입 승인 후 담당·기한·의존 작업·검증 범위를 다시 확정한다.</x:v>
      </x:c>
      <x:c r="I111" s="874" t="str">
        <x:v>기존 요구와 이력은 보존. 미착수를 완료·시험 통과로 표시하지 않는다. 결제·sLLM 관련 기존 필수 문구는 S14~S16 최신 범위로 대체.</x:v>
      </x:c>
    </x:row>
    <x:row r="112" ht="100" customHeight="1">
      <x:c r="A112" s="874" t="str">
        <x:v>WBS-3.22</x:v>
      </x:c>
      <x:c r="B112" s="874" t="str">
        <x:v>기능·콘텐츠·모델 구현</x:v>
      </x:c>
      <x:c r="C112" s="874" t="str">
        <x:v>[확장] PG 테스트 결제·승인 구현</x:v>
      </x:c>
      <x:c r="D112" s="874" t="str">
        <x:f>'시트1'!D120&amp;CHAR(10)&amp;"협업: 황수빈"&amp;CHAR(10)&amp;"전반 관리: 김태윤(PM), 김동섭(APM)"</x:f>
        <x:v>최인영
협업: 황수빈
전반 관리: 김태윤(PM), 김동섭(APM)</x:v>
      </x:c>
      <x:c r="E112" s="874" t="str">
        <x:v>범위 재승인 후 착수</x:v>
      </x:c>
      <x:c r="F112" s="874" t="str">
        <x:v>FFH-19, FFJ-32, FBF-30, FBF-31, FBN-25</x:v>
      </x:c>
      <x:c r="G112" s="874" t="str">
        <x:v>주문·승인 확인·중복 처리</x:v>
      </x:c>
      <x:c r="H112" s="874" t="str">
        <x:v>이번 12/7 데모 범위에서 제외한다. 재도입 승인 후 담당·기한·의존 작업·검증 범위를 다시 확정한다.</x:v>
      </x:c>
      <x:c r="I112" s="874" t="str">
        <x:v>기존 요구와 이력은 보존. 미착수를 완료·시험 통과로 표시하지 않는다. 결제·sLLM 관련 기존 필수 문구는 S14~S16 최신 범위로 대체.</x:v>
      </x:c>
    </x:row>
    <x:row r="113" ht="100" customHeight="1">
      <x:c r="A113" s="874" t="str">
        <x:v>WBS-3.23</x:v>
      </x:c>
      <x:c r="B113" s="874" t="str">
        <x:v>기능·콘텐츠·모델 구현</x:v>
      </x:c>
      <x:c r="C113" s="874" t="str">
        <x:v>[확장] 구독·갱신·해지·환불 구현</x:v>
      </x:c>
      <x:c r="D113" s="874" t="str">
        <x:f>'시트1'!D121&amp;CHAR(10)&amp;"협업: 황수빈"&amp;CHAR(10)&amp;"전반 관리: 김태윤(PM), 김동섭(APM)"</x:f>
        <x:v>최인영
협업: 황수빈
전반 관리: 김태윤(PM), 김동섭(APM)</x:v>
      </x:c>
      <x:c r="E113" s="874" t="str">
        <x:v>범위 재승인 후 착수</x:v>
      </x:c>
      <x:c r="F113" s="874" t="str">
        <x:v>FBF-32, FBF-33, FFH-20, FFJ-33, FFJ-34, FBF-34</x:v>
      </x:c>
      <x:c r="G113" s="874" t="str">
        <x:v>구독 상태·권한·청구·해지·환불</x:v>
      </x:c>
      <x:c r="H113" s="874" t="str">
        <x:v>이번 12/7 데모 범위에서 제외한다. 재도입 승인 후 담당·기한·의존 작업·검증 범위를 다시 확정한다.</x:v>
      </x:c>
      <x:c r="I113" s="874" t="str">
        <x:v>기존 요구와 이력은 보존. 미착수를 완료·시험 통과로 표시하지 않는다. 결제·sLLM 관련 기존 필수 문구는 S14~S16 최신 범위로 대체.</x:v>
      </x:c>
    </x:row>
    <x:row r="114" ht="100" customHeight="1">
      <x:c r="A114" s="874" t="str">
        <x:v>WBS-3.24</x:v>
      </x:c>
      <x:c r="B114" s="874" t="str">
        <x:v>기능·콘텐츠·모델 구현</x:v>
      </x:c>
      <x:c r="C114" s="874" t="str">
        <x:v>[확장] 결제 운영·거래 대조 구현</x:v>
      </x:c>
      <x:c r="D114" s="874" t="str">
        <x:f>'시트1'!D122&amp;CHAR(10)&amp;"협업: 황수빈, 김태윤"&amp;CHAR(10)&amp;"전반 관리: 김태윤(PM), 김동섭(APM)"</x:f>
        <x:v>최인영
협업: 황수빈, 김태윤
전반 관리: 김태윤(PM), 김동섭(APM)</x:v>
      </x:c>
      <x:c r="E114" s="874" t="str">
        <x:v>범위 재승인 후 착수</x:v>
      </x:c>
      <x:c r="F114" s="874" t="str">
        <x:v>FFH-21, FBF-35, FBF-36, FAR-06</x:v>
      </x:c>
      <x:c r="G114" s="874" t="str">
        <x:v>거래 조회·대조·환불 승인</x:v>
      </x:c>
      <x:c r="H114" s="874" t="str">
        <x:v>이번 12/7 데모 범위에서 제외한다. 재도입 승인 후 담당·기한·의존 작업·검증 범위를 다시 확정한다.</x:v>
      </x:c>
      <x:c r="I114" s="874" t="str">
        <x:v>기존 요구와 이력은 보존. 미착수를 완료·시험 통과로 표시하지 않는다. 결제·sLLM 관련 기존 필수 문구는 S14~S16 최신 범위로 대체.</x:v>
      </x:c>
    </x:row>
    <x:row r="115" ht="100" customHeight="1">
      <x:c r="A115" s="874" t="str">
        <x:v>WBS-3.28</x:v>
      </x:c>
      <x:c r="B115" s="874" t="str">
        <x:v>기능·콘텐츠·모델 구현</x:v>
      </x:c>
      <x:c r="C115" s="874" t="str">
        <x:v>[확장] 설명 sLLM 학습·기본 모델 비교</x:v>
      </x:c>
      <x:c r="D115" s="874" t="str">
        <x:f>'시트1'!D123&amp;CHAR(10)&amp;"협업: 최성욱"&amp;CHAR(10)&amp;"전반 관리: 김태윤(PM), 김동섭(APM)"</x:f>
        <x:v>김재현
협업: 최성욱
전반 관리: 김태윤(PM), 김동섭(APM)</x:v>
      </x:c>
      <x:c r="E115" s="874" t="str">
        <x:v>범위 재승인 후 착수</x:v>
      </x:c>
      <x:c r="F115" s="874" t="str">
        <x:v>FAC-14</x:v>
      </x:c>
      <x:c r="G115" s="874" t="str">
        <x:v>설명 모델 후보·학습 기록</x:v>
      </x:c>
      <x:c r="H115" s="874" t="str">
        <x:v>이번 12/7 데모 범위에서 제외한다. 재도입 승인 후 담당·기한·의존 작업·검증 범위를 다시 확정한다.</x:v>
      </x:c>
      <x:c r="I115" s="874" t="str">
        <x:v>기존 요구와 이력은 보존. 미착수를 완료·시험 통과로 표시하지 않는다. 결제·sLLM 관련 기존 필수 문구는 S14~S16 최신 범위로 대체.</x:v>
      </x:c>
    </x:row>
    <x:row r="116" ht="100" customHeight="1">
      <x:c r="A116" s="874" t="str">
        <x:v>WBS-4.4</x:v>
      </x:c>
      <x:c r="B116" s="874" t="str">
        <x:v>최종 일괄 검증·배포·인계</x:v>
      </x:c>
      <x:c r="C116" s="874" t="str">
        <x:v>[확장] PG 테스트·구독 권한 검증</x:v>
      </x:c>
      <x:c r="D116" s="874" t="str">
        <x:f>'시트1'!D124&amp;CHAR(10)&amp;"협업: 김태윤, 황수빈"&amp;CHAR(10)&amp;"전반 관리: 김태윤(PM), 김동섭(APM)"</x:f>
        <x:v>최인영
협업: 김태윤, 황수빈
전반 관리: 김태윤(PM), 김동섭(APM)</x:v>
      </x:c>
      <x:c r="E116" s="874" t="str">
        <x:v>범위 재승인 후 착수</x:v>
      </x:c>
      <x:c r="F116" s="874" t="str">
        <x:v>FAR-04, FAR-06, FFH-19, FFJ-32, FBF-30, FBF-31, FBF-32, FBF-33, FFH-20, FFJ-33, FFJ-34, FBF-34, FBN-25, FFH-21, FBF-35, FBF-36</x:v>
      </x:c>
      <x:c r="G116" s="874" t="str">
        <x:v>PG 테스트 거래와 권한 대조 결과</x:v>
      </x:c>
      <x:c r="H116" s="874" t="str">
        <x:v>이번 12/7 데모 범위에서 제외한다. 재도입 승인 후 담당·기한·의존 작업·검증 범위를 다시 확정한다.</x:v>
      </x:c>
      <x:c r="I116" s="874" t="str">
        <x:v>기존 요구와 이력은 보존. 미착수를 완료·시험 통과로 표시하지 않는다. 결제·sLLM 관련 기존 필수 문구는 S14~S16 최신 범위로 대체.</x:v>
      </x:c>
    </x:row>
    <x:row r="117" ht="100" customHeight="1">
      <x:c r="A117" s="874" t="str">
        <x:v>WBS-5.15</x:v>
      </x:c>
      <x:c r="B117" s="874" t="str">
        <x:v>산출물 제출·발표 (병행)</x:v>
      </x:c>
      <x:c r="C117" s="874" t="str">
        <x:v>[확장] 자체 sLLM 산출물 제출</x:v>
      </x:c>
      <x:c r="D117" s="874" t="str">
        <x:f>'시트1'!D125&amp;CHAR(10)&amp;"협업: 최성욱, 황수빈"&amp;CHAR(10)&amp;"전반 관리: 김태윤(PM), 김동섭(APM)"</x:f>
        <x:v>김재현
협업: 최성욱, 황수빈
전반 관리: 김태윤(PM), 김동섭(APM)</x:v>
      </x:c>
      <x:c r="E117" s="874" t="str">
        <x:v>범위 재승인 후 착수</x:v>
      </x:c>
      <x:c r="F117" s="874" t="str">
        <x:v>공식 산출물 일정 S12</x:v>
      </x:c>
      <x:c r="G117" s="874" t="str">
        <x:v>자체 sLLM 인공지능</x:v>
      </x:c>
      <x:c r="H117" s="874" t="str">
        <x:v>이번 12/7 데모 범위에서 제외한다. 재도입 승인 후 담당·기한·의존 작업·검증 범위를 다시 확정한다.</x:v>
      </x:c>
      <x:c r="I117" s="874" t="str">
        <x:v>기존 요구와 이력은 보존. 미착수를 완료·시험 통과로 표시하지 않는다. 결제·sLLM 관련 기존 필수 문구는 S14~S16 최신 범위로 대체.</x:v>
      </x:c>
    </x:row>
    <x:row r="118" ht="42" customHeight="1">
      <x:c r="A118" s="862"/>
      <x:c r="B118" s="862"/>
      <x:c r="C118" s="862"/>
      <x:c r="D118" s="862"/>
      <x:c r="E118" s="862"/>
      <x:c r="F118" s="862"/>
      <x:c r="G118" s="862"/>
      <x:c r="H118" s="862"/>
      <x:c r="I118" s="862"/>
    </x:row>
    <x:row r="119" ht="42" customHeight="1">
      <x:c r="A119" s="862"/>
      <x:c r="B119" s="862"/>
      <x:c r="C119" s="862"/>
      <x:c r="D119" s="862"/>
      <x:c r="E119" s="862"/>
      <x:c r="F119" s="862"/>
      <x:c r="G119" s="862"/>
      <x:c r="H119" s="862"/>
      <x:c r="I119" s="862"/>
    </x:row>
    <x:row r="120" ht="28" customHeight="1">
      <x:c r="A120" s="911" t="str">
        <x:v>확인된 역할 분담과 책임 경계</x:v>
      </x:c>
      <x:c r="B120" s="911"/>
      <x:c r="C120" s="911"/>
      <x:c r="D120" s="911"/>
      <x:c r="E120" s="911"/>
      <x:c r="F120" s="911"/>
      <x:c r="G120" s="911"/>
      <x:c r="H120" s="911"/>
      <x:c r="I120" s="911"/>
    </x:row>
    <x:row r="121" ht="28" customHeight="1">
      <x:c r="A121" s="919" t="str">
        <x:v>이름</x:v>
      </x:c>
      <x:c r="B121" s="919" t="str">
        <x:v>담당</x:v>
      </x:c>
      <x:c r="C121" s="919" t="str">
        <x:v>확인된 책임 범위</x:v>
      </x:c>
      <x:c r="D121" s="919"/>
      <x:c r="E121" s="919"/>
      <x:c r="F121" s="919"/>
      <x:c r="G121" s="919"/>
      <x:c r="H121" s="919"/>
      <x:c r="I121" s="919"/>
    </x:row>
    <x:row r="122" ht="42" customHeight="1">
      <x:c r="A122" s="862" t="str">
        <x:v>김태윤</x:v>
      </x:c>
      <x:c r="B122" s="862" t="str">
        <x:v>PM·Ops</x:v>
      </x:c>
      <x:c r="C122" s="862" t="str">
        <x:v>일정·범위·문서·발표·통합 QA·운영 대응. 평가 입력·기대값 준비와 황수빈과의 독립 판정.</x:v>
      </x:c>
      <x:c r="D122" s="862"/>
      <x:c r="E122" s="862"/>
      <x:c r="F122" s="862"/>
      <x:c r="G122" s="862"/>
      <x:c r="H122" s="862"/>
      <x:c r="I122" s="862"/>
    </x:row>
    <x:row r="123" ht="42" customHeight="1">
      <x:c r="A123" s="863" t="str">
        <x:v>김동섭</x:v>
      </x:c>
      <x:c r="B123" s="863" t="str">
        <x:v>APM·Infra</x:v>
      </x:c>
      <x:c r="C123" s="863" t="str">
        <x:v>35미션·성취기준·성취수준/요소표 검수·확정, Docker/AWS·백업·복원. 역할 경계가 애매한 항목의 조정 책임(사용자).</x:v>
      </x:c>
      <x:c r="D123" s="863"/>
      <x:c r="E123" s="863"/>
      <x:c r="F123" s="863"/>
      <x:c r="G123" s="863"/>
      <x:c r="H123" s="863"/>
      <x:c r="I123" s="863"/>
    </x:row>
    <x:row r="124" ht="42" customHeight="1">
      <x:c r="A124" s="862" t="str">
        <x:v>김재현</x:v>
      </x:c>
      <x:c r="B124" s="863" t="str">
        <x:v>LLM·ML/DL</x:v>
      </x:c>
      <x:c r="C124" s="863" t="str">
        <x:v>M2 학습·서빙·모델 지표/버전 집계, M1 비교. sLLM은 확장. 독립 라벨 원판정을 대신하지 않음.</x:v>
      </x:c>
      <x:c r="D124" s="863"/>
      <x:c r="E124" s="863"/>
      <x:c r="F124" s="863"/>
      <x:c r="G124" s="863"/>
      <x:c r="H124" s="863"/>
      <x:c r="I124" s="863"/>
    </x:row>
    <x:row r="125" ht="42" customHeight="1">
      <x:c r="A125" s="861" t="str">
        <x:v>최인영</x:v>
      </x:c>
      <x:c r="B125" s="861" t="str">
        <x:v>Backend·DB</x:v>
      </x:c>
      <x:c r="C125" s="861" t="str">
        <x:v>FastAPI·계정/자녀·동의/삭제·답변·쓰기 집계·가상 fixture·DB 마이그레이션. 결제는 데모 제외.</x:v>
      </x:c>
      <x:c r="D125" s="861"/>
      <x:c r="E125" s="861"/>
      <x:c r="F125" s="863"/>
      <x:c r="G125" s="863"/>
      <x:c r="H125" s="863"/>
      <x:c r="I125" s="861"/>
    </x:row>
    <x:row r="126" ht="42" customHeight="1">
      <x:c r="A126" s="862" t="str">
        <x:v>최성욱</x:v>
      </x:c>
      <x:c r="B126" s="862" t="str">
        <x:v>LLM·ML/DL·Backend</x:v>
      </x:c>
      <x:c r="C126" s="862" t="str">
        <x:v>판정/되묻기·지표 계산·학부모 분석·주간/저녁 질문·규칙 추천·LLM 사용량 생산. API 계약 연계.</x:v>
      </x:c>
      <x:c r="D126" s="862"/>
      <x:c r="E126" s="862"/>
      <x:c r="F126" s="862"/>
      <x:c r="G126" s="862"/>
      <x:c r="H126" s="862"/>
      <x:c r="I126" s="862"/>
    </x:row>
    <x:row r="127" ht="42" customHeight="1">
      <x:c r="A127" s="862" t="str">
        <x:v>황수빈</x:v>
      </x:c>
      <x:c r="B127" s="862" t="str">
        <x:v>ML/DL·Frontend</x:v>
      </x:c>
      <x:c r="C127" s="862" t="str">
        <x:v>학생/학부모/관리자 UI·쓰기 이벤트·추천/복귀·성장 지도·반응형. 김태윤과 독립 판정, 지표 시각화.</x:v>
      </x:c>
      <x:c r="D127" s="862"/>
      <x:c r="E127" s="862"/>
      <x:c r="F127" s="862"/>
      <x:c r="G127" s="862"/>
      <x:c r="H127" s="862"/>
      <x:c r="I127" s="862"/>
    </x:row>
    <x:row r="128" ht="12" customHeight="1">
      <x:c r="A128" s="862"/>
      <x:c r="B128" s="862"/>
      <x:c r="C128" s="862"/>
      <x:c r="D128" s="862"/>
      <x:c r="E128" s="862"/>
      <x:c r="F128" s="862"/>
      <x:c r="G128" s="862"/>
      <x:c r="H128" s="862"/>
      <x:c r="I128" s="862"/>
    </x:row>
    <x:row r="129" ht="42" customHeight="1">
      <x:c r="A129" s="862" t="str">
        <x:v>주담당은 각 작업1명. 독립 평가자는 김태윤·황수빈2인으로 모델/상대 결과를 보기 전 판정. 역할 경계 미정은 김동섭 조정. 병행 일정은 실가용시간 확인 후 조정.</x:v>
      </x:c>
      <x:c r="B129" s="862"/>
      <x:c r="C129" s="862"/>
      <x:c r="D129" s="862"/>
      <x:c r="E129" s="862"/>
      <x:c r="F129" s="862"/>
      <x:c r="G129" s="862"/>
      <x:c r="H129" s="862"/>
      <x:c r="I129" s="862"/>
    </x:row>
    <x:row r="130" ht="12" customHeight="1">
      <x:c r="A130" s="862"/>
      <x:c r="B130" s="862"/>
      <x:c r="C130" s="862"/>
      <x:c r="D130" s="862"/>
      <x:c r="E130" s="862"/>
      <x:c r="F130" s="862"/>
      <x:c r="G130" s="862"/>
      <x:c r="H130" s="862"/>
      <x:c r="I130" s="862"/>
    </x:row>
    <x:row r="131" ht="28" customHeight="1">
      <x:c r="A131" s="911" t="str">
        <x:v>1단계 번호 변경 대응 (직전 노션 반영본 기준)</x:v>
      </x:c>
      <x:c r="B131" s="911"/>
      <x:c r="C131" s="911"/>
      <x:c r="D131" s="911"/>
      <x:c r="E131" s="911"/>
      <x:c r="F131" s="911"/>
      <x:c r="G131" s="911"/>
      <x:c r="H131" s="911"/>
      <x:c r="I131" s="911"/>
    </x:row>
    <x:row r="132" ht="28" customHeight="1">
      <x:c r="A132" s="919" t="str">
        <x:v>직전 번호</x:v>
      </x:c>
      <x:c r="B132" s="919" t="str">
        <x:v>현재 번호</x:v>
      </x:c>
      <x:c r="C132" s="919" t="str">
        <x:v>작업 내용</x:v>
      </x:c>
      <x:c r="D132" s="919"/>
      <x:c r="E132" s="919"/>
      <x:c r="F132" s="919"/>
      <x:c r="G132" s="919"/>
      <x:c r="H132" s="919"/>
      <x:c r="I132" s="919"/>
    </x:row>
    <x:row r="133" ht="26" customHeight="1">
      <x:c r="A133" s="863" t="str">
        <x:v>WBS-1.1</x:v>
      </x:c>
      <x:c r="B133" s="863" t="str">
        <x:v>WBS-1.1</x:v>
      </x:c>
      <x:c r="C133" s="863" t="str">
        <x:v>초기 주제 발굴·기획안 작성</x:v>
      </x:c>
      <x:c r="D133" s="863"/>
      <x:c r="E133" s="863"/>
      <x:c r="F133" s="863"/>
      <x:c r="G133" s="863"/>
      <x:c r="H133" s="863"/>
      <x:c r="I133" s="863"/>
    </x:row>
    <x:row r="134" ht="26" customHeight="1">
      <x:c r="A134" s="862" t="str">
        <x:v>신규</x:v>
      </x:c>
      <x:c r="B134" s="863" t="str">
        <x:v>WBS-1.2</x:v>
      </x:c>
      <x:c r="C134" s="863" t="str">
        <x:v>후보 MVP 제작·데이터·경쟁 조사</x:v>
      </x:c>
      <x:c r="D134" s="863"/>
      <x:c r="E134" s="863"/>
      <x:c r="F134" s="863"/>
      <x:c r="G134" s="863"/>
      <x:c r="H134" s="863"/>
      <x:c r="I134" s="863"/>
    </x:row>
    <x:row r="135" ht="26" customHeight="1">
      <x:c r="A135" s="861" t="str">
        <x:v>WBS-1.2</x:v>
      </x:c>
      <x:c r="B135" s="861" t="str">
        <x:v>WBS-1.3</x:v>
      </x:c>
      <x:c r="C135" s="861" t="str">
        <x:v>후보 비교·교육 서비스 차별화 검토</x:v>
      </x:c>
      <x:c r="D135" s="861"/>
      <x:c r="E135" s="861"/>
      <x:c r="F135" s="863"/>
      <x:c r="G135" s="863"/>
      <x:c r="H135" s="863"/>
      <x:c r="I135" s="861"/>
    </x:row>
    <x:row r="136" ht="26" customHeight="1">
      <x:c r="A136" s="866" t="str">
        <x:v>WBS-1.3</x:v>
      </x:c>
      <x:c r="B136" s="862" t="str">
        <x:v>WBS-1.4</x:v>
      </x:c>
      <x:c r="C136" s="862" t="str">
        <x:v>교육 MVP·기존 산출물 현황 정리</x:v>
      </x:c>
      <x:c r="D136" s="862"/>
      <x:c r="E136" s="862"/>
      <x:c r="F136" s="862"/>
      <x:c r="G136" s="862"/>
      <x:c r="H136" s="862"/>
      <x:c r="I136" s="862"/>
    </x:row>
    <x:row r="137" ht="26" customHeight="1">
      <x:c r="A137" s="866" t="str">
        <x:v>WBS-1.4</x:v>
      </x:c>
      <x:c r="B137" s="862" t="str">
        <x:v>WBS-1.5</x:v>
      </x:c>
      <x:c r="C137" s="862" t="str">
        <x:v>멘토링 피드백·후속 과제 정리</x:v>
      </x:c>
      <x:c r="D137" s="862"/>
      <x:c r="E137" s="862"/>
      <x:c r="F137" s="862"/>
      <x:c r="G137" s="862"/>
      <x:c r="H137" s="862"/>
      <x:c r="I137" s="862"/>
    </x:row>
    <x:row r="138" ht="26" customHeight="1">
      <x:c r="A138" s="866" t="str">
        <x:v>WBS-1.5</x:v>
      </x:c>
      <x:c r="B138" s="862" t="str">
        <x:v>WBS-1.6</x:v>
      </x:c>
      <x:c r="C138" s="862" t="str">
        <x:v>교육 데이터·성취기준 확보 검토</x:v>
      </x:c>
      <x:c r="D138" s="862"/>
      <x:c r="E138" s="862"/>
      <x:c r="F138" s="862"/>
      <x:c r="G138" s="862"/>
      <x:c r="H138" s="862"/>
      <x:c r="I138" s="862"/>
    </x:row>
    <x:row r="139" ht="26" customHeight="1">
      <x:c r="A139" s="866" t="str">
        <x:v>WBS-1.6</x:v>
      </x:c>
      <x:c r="B139" s="862" t="str">
        <x:v>WBS-1.7</x:v>
      </x:c>
      <x:c r="C139" s="862" t="str">
        <x:v>기획서·요구사항·WBS 초안 정리</x:v>
      </x:c>
      <x:c r="D139" s="862"/>
      <x:c r="E139" s="862"/>
      <x:c r="F139" s="862"/>
      <x:c r="G139" s="862"/>
      <x:c r="H139" s="862"/>
      <x:c r="I139" s="862"/>
    </x:row>
    <x:row r="140" ht="26" customHeight="1">
      <x:c r="A140" s="866" t="str">
        <x:v>WBS-1.7</x:v>
      </x:c>
      <x:c r="B140" s="862" t="str">
        <x:v>WBS-1.8</x:v>
      </x:c>
      <x:c r="C140" s="862" t="str">
        <x:v>계정·자녀·기록 정책 결정</x:v>
      </x:c>
      <x:c r="D140" s="862"/>
      <x:c r="E140" s="862"/>
      <x:c r="F140" s="862"/>
      <x:c r="G140" s="862"/>
      <x:c r="H140" s="862"/>
      <x:c r="I140" s="862"/>
    </x:row>
    <x:row r="141" ht="26" customHeight="1">
      <x:c r="A141" s="866" t="str">
        <x:v>WBS-1.8</x:v>
      </x:c>
      <x:c r="B141" s="862" t="str">
        <x:v>WBS-1.9</x:v>
      </x:c>
      <x:c r="C141" s="862" t="str">
        <x:v>학습·판정·집계와 확장 정책 결정</x:v>
      </x:c>
      <x:c r="D141" s="862"/>
      <x:c r="E141" s="862"/>
      <x:c r="F141" s="862"/>
      <x:c r="G141" s="862"/>
      <x:c r="H141" s="862"/>
      <x:c r="I141" s="862"/>
    </x:row>
    <x:row r="142" ht="26" customHeight="1">
      <x:c r="A142" s="866" t="str">
        <x:v>WBS-1.9</x:v>
      </x:c>
      <x:c r="B142" s="862" t="str">
        <x:v>WBS-1.10</x:v>
      </x:c>
      <x:c r="C142" s="862" t="str">
        <x:v>모델·평가 범위 결정</x:v>
      </x:c>
      <x:c r="D142" s="862"/>
      <x:c r="E142" s="862"/>
      <x:c r="F142" s="862"/>
      <x:c r="G142" s="862"/>
      <x:c r="H142" s="862"/>
      <x:c r="I142" s="862"/>
    </x:row>
    <x:row r="143" ht="26" customHeight="1">
      <x:c r="A143" s="866" t="str">
        <x:v>WBS-1.10</x:v>
      </x:c>
      <x:c r="B143" s="862" t="str">
        <x:v>WBS-1.11</x:v>
      </x:c>
      <x:c r="C143" s="862" t="str">
        <x:v>운영·리포트·결제 정책 결정</x:v>
      </x:c>
      <x:c r="D143" s="862"/>
      <x:c r="E143" s="862"/>
      <x:c r="F143" s="862"/>
      <x:c r="G143" s="862"/>
      <x:c r="H143" s="862"/>
      <x:c r="I143" s="862"/>
    </x:row>
    <x:row r="144" ht="26" customHeight="1">
      <x:c r="A144" s="866" t="str">
        <x:v>WBS-1.11</x:v>
      </x:c>
      <x:c r="B144" s="862" t="str">
        <x:v>WBS-1.12</x:v>
      </x:c>
      <x:c r="C144" s="862" t="str">
        <x:v>범위·우선순위·일정 검토</x:v>
      </x:c>
      <x:c r="D144" s="862"/>
      <x:c r="E144" s="862"/>
      <x:c r="F144" s="862"/>
      <x:c r="G144" s="862"/>
      <x:c r="H144" s="862"/>
      <x:c r="I144" s="862"/>
    </x:row>
    <x:row r="145" ht="12" customHeight="1">
      <x:c r="A145" s="866"/>
      <x:c r="B145" s="862"/>
      <x:c r="C145" s="862"/>
      <x:c r="D145" s="862"/>
      <x:c r="E145" s="862"/>
      <x:c r="F145" s="862"/>
      <x:c r="G145" s="862"/>
      <x:c r="H145" s="862"/>
      <x:c r="I145" s="862"/>
    </x:row>
    <x:row r="146" ht="28" customHeight="1">
      <x:c r="A146" s="913" t="str">
        <x:v>실제 진행 기록과 WBS 연결</x:v>
      </x:c>
      <x:c r="B146" s="911"/>
      <x:c r="C146" s="911"/>
      <x:c r="D146" s="911"/>
      <x:c r="E146" s="911"/>
      <x:c r="F146" s="911"/>
      <x:c r="G146" s="911"/>
      <x:c r="H146" s="911"/>
      <x:c r="I146" s="911"/>
    </x:row>
    <x:row r="147" ht="28" customHeight="1">
      <x:c r="A147" s="921" t="str">
        <x:v>기록</x:v>
      </x:c>
      <x:c r="B147" s="919" t="str">
        <x:v>실제 수행·공유일</x:v>
      </x:c>
      <x:c r="C147" s="919" t="str">
        <x:v>기록 내용</x:v>
      </x:c>
      <x:c r="D147" s="919" t="str">
        <x:v>근거 상태</x:v>
      </x:c>
      <x:c r="E147" s="919" t="str">
        <x:v>작업 번호·처리</x:v>
      </x:c>
      <x:c r="F147" s="919"/>
      <x:c r="G147" s="919"/>
      <x:c r="H147" s="919"/>
      <x:c r="I147" s="919" t="str">
        <x:v>출처</x:v>
      </x:c>
    </x:row>
    <x:row r="148" ht="66" customHeight="1">
      <x:c r="A148" s="866" t="str">
        <x:v>H01</x:v>
      </x:c>
      <x:c r="B148" s="862" t="str">
        <x:v>2026-10-16</x:v>
      </x:c>
      <x:c r="C148" s="862" t="str">
        <x:v>초기 주제 발굴·기획안 작성</x:v>
      </x:c>
      <x:c r="D148" s="862" t="str">
        <x:v>문서·게시 기록</x:v>
      </x:c>
      <x:c r="E148" s="862" t="str">
        <x:v>WBS-1.1. 프로젝트 시작일부터 실제 작업으로 포함.</x:v>
      </x:c>
      <x:c r="F148" s="862"/>
      <x:c r="G148" s="862"/>
      <x:c r="H148" s="862"/>
      <x:c r="I148" s="862" t="str">
        <x:v>S01</x:v>
      </x:c>
    </x:row>
    <x:row r="149" ht="66" customHeight="1">
      <x:c r="A149" s="866" t="str">
        <x:v>H02</x:v>
      </x:c>
      <x:c r="B149" s="862" t="str">
        <x:v>2026-10-17~18</x:v>
      </x:c>
      <x:c r="C149" s="862" t="str">
        <x:v>후보 MVP 제작·조사</x:v>
      </x:c>
      <x:c r="D149" s="862" t="str">
        <x:v>작성자 보고</x:v>
      </x:c>
      <x:c r="E149" s="862" t="str">
        <x:v>WBS-1.2. 개인별 사이버·법률·산재/AI-SRE·PUBG·원자재/보듬·LoL 조사/구현 보고를 포함. 교육 MVP 완료로 혼합하지 않음. 최성욱 원문 날짜 불일치는 확인 필요.</x:v>
      </x:c>
      <x:c r="F149" s="862"/>
      <x:c r="G149" s="862"/>
      <x:c r="H149" s="862"/>
      <x:c r="I149" s="862" t="str">
        <x:v>S02</x:v>
      </x:c>
    </x:row>
    <x:row r="150" ht="66" customHeight="1">
      <x:c r="A150" s="866" t="str">
        <x:v>H03</x:v>
      </x:c>
      <x:c r="B150" s="862" t="str">
        <x:v>2026-10-19</x:v>
      </x:c>
      <x:c r="C150" s="862" t="str">
        <x:v>주말 작업 아침 공유</x:v>
      </x:c>
      <x:c r="D150" s="862" t="str">
        <x:v>공유 기록</x:v>
      </x:c>
      <x:c r="E150" s="862" t="str">
        <x:v>WBS-1.2의 공유 기록. 실제 수행일은 10/17~18로 보존하고 별도의 중복 제작 작업으로 추가하지 않음.</x:v>
      </x:c>
      <x:c r="F150" s="862"/>
      <x:c r="G150" s="862"/>
      <x:c r="H150" s="862"/>
      <x:c r="I150" s="862" t="str">
        <x:v>S03</x:v>
      </x:c>
    </x:row>
    <x:row r="151" ht="66" customHeight="1">
      <x:c r="A151" s="866" t="str">
        <x:v>H04</x:v>
      </x:c>
      <x:c r="B151" s="862" t="str">
        <x:v>2026-10-20</x:v>
      </x:c>
      <x:c r="C151" s="862" t="str">
        <x:v>후보 비교·강사 검토</x:v>
      </x:c>
      <x:c r="D151" s="862" t="str">
        <x:v>기록·사용자 전달</x:v>
      </x:c>
      <x:c r="E151" s="862" t="str">
        <x:v>WBS-1.3. 후보 차별화·데이터·기간 내 구현 범위 검토에 반영.</x:v>
      </x:c>
      <x:c r="F151" s="862"/>
      <x:c r="G151" s="862"/>
      <x:c r="H151" s="862"/>
      <x:c r="I151" s="862" t="str">
        <x:v>S04</x:v>
      </x:c>
    </x:row>
    <x:row r="152" ht="66" customHeight="1">
      <x:c r="A152" s="866" t="str">
        <x:v>H05</x:v>
      </x:c>
      <x:c r="B152" s="862" t="str">
        <x:v>2026-10-21</x:v>
      </x:c>
      <x:c r="C152" s="862" t="str">
        <x:v>교육 MVP·멘토링·데이터 검토</x:v>
      </x:c>
      <x:c r="D152" s="862" t="str">
        <x:v>문서 확인·구현 보고</x:v>
      </x:c>
      <x:c r="E152" s="862" t="str">
        <x:v>WBS-1.4·1.5·1.6. 수업 8개·규칙 피드백·브라우저 기록 및 개념 설명 24항목 예비 대조표·수업 연결 후보를 구분.</x:v>
      </x:c>
      <x:c r="F152" s="862"/>
      <x:c r="G152" s="862"/>
      <x:c r="H152" s="862"/>
      <x:c r="I152" s="862" t="str">
        <x:v>S05~S07</x:v>
      </x:c>
    </x:row>
    <x:row r="153" ht="66" customHeight="1">
      <x:c r="A153" s="866" t="str">
        <x:v>H06</x:v>
      </x:c>
      <x:c r="B153" s="862" t="str">
        <x:v>2026-10-22</x:v>
      </x:c>
      <x:c r="C153" s="862" t="str">
        <x:v>교육 MVP 구현 보고</x:v>
      </x:c>
      <x:c r="D153" s="862" t="str">
        <x:v>작성자 보고</x:v>
      </x:c>
      <x:c r="E153" s="862" t="str">
        <x:v>WBS-1.4. 10/21 기존 MVP와 동일 코드·버전인지 및 실제 실행 범위는 미확인.</x:v>
      </x:c>
      <x:c r="F153" s="862"/>
      <x:c r="G153" s="862"/>
      <x:c r="H153" s="862"/>
      <x:c r="I153" s="862" t="str">
        <x:v>S08</x:v>
      </x:c>
    </x:row>
    <x:row r="154" ht="66" customHeight="1">
      <x:c r="A154" s="866" t="str">
        <x:v>H07</x:v>
      </x:c>
      <x:c r="B154" s="862" t="str">
        <x:v>2026-10-23</x:v>
      </x:c>
      <x:c r="C154" s="862" t="str">
        <x:v>기획·수집 데이터 제출 마감</x:v>
      </x:c>
      <x:c r="D154" s="862" t="str">
        <x:v>기한 확인·제출 미확인</x:v>
      </x:c>
      <x:c r="E154" s="862" t="str">
        <x:v>WBS-1.7 및 5.1~5.4. 초안 작성·제출 기한과 실제 제출 상태를 분리.</x:v>
      </x:c>
      <x:c r="F154" s="862"/>
      <x:c r="G154" s="862"/>
      <x:c r="H154" s="862"/>
      <x:c r="I154" s="862" t="str">
        <x:v>S11·S12</x:v>
      </x:c>
    </x:row>
    <x:row r="155" ht="12" customHeight="1">
      <x:c r="A155" s="866"/>
      <x:c r="B155" s="862"/>
      <x:c r="C155" s="862"/>
      <x:c r="D155" s="862"/>
      <x:c r="E155" s="862"/>
      <x:c r="F155" s="862"/>
      <x:c r="G155" s="862"/>
      <x:c r="H155" s="862"/>
      <x:c r="I155" s="862"/>
    </x:row>
    <x:row r="156" ht="28" customHeight="1">
      <x:c r="A156" s="913" t="str">
        <x:v>공식 산출물 제출 일정과 WBS 연결</x:v>
      </x:c>
      <x:c r="B156" s="911"/>
      <x:c r="C156" s="911"/>
      <x:c r="D156" s="911"/>
      <x:c r="E156" s="911"/>
      <x:c r="F156" s="911"/>
      <x:c r="G156" s="911"/>
      <x:c r="H156" s="911"/>
      <x:c r="I156" s="911"/>
    </x:row>
    <x:row r="157" ht="28" customHeight="1">
      <x:c r="A157" s="923" t="str">
        <x:v>마감</x:v>
      </x:c>
      <x:c r="B157" s="923" t="str">
        <x:v>산출물 WBS</x:v>
      </x:c>
      <x:c r="C157" s="923" t="str">
        <x:v>산출물</x:v>
      </x:c>
      <x:c r="D157" s="923" t="str">
        <x:v>주 담당</x:v>
      </x:c>
      <x:c r="E157" s="923" t="str">
        <x:v>선행 작성·구현 작업</x:v>
      </x:c>
      <x:c r="F157" s="923"/>
      <x:c r="G157" s="923"/>
      <x:c r="H157" s="923"/>
      <x:c r="I157" s="923" t="str">
        <x:v>근거</x:v>
      </x:c>
    </x:row>
    <x:row r="158" ht="38" customHeight="1">
      <x:c r="A158" s="862" t="n">
        <x:v>46318</x:v>
      </x:c>
      <x:c r="B158" s="863" t="str">
        <x:v>WBS-5.1</x:v>
      </x:c>
      <x:c r="C158" s="863" t="str">
        <x:v>요구사항 정의서</x:v>
      </x:c>
      <x:c r="D158" s="863" t="str">
        <x:v>김태윤</x:v>
      </x:c>
      <x:c r="E158" s="863" t="str">
        <x:v>WBS-1.7</x:v>
      </x:c>
      <x:c r="F158" s="863"/>
      <x:c r="G158" s="863"/>
      <x:c r="H158" s="863"/>
      <x:c r="I158" s="863" t="str">
        <x:v>S12·S13</x:v>
      </x:c>
    </x:row>
    <x:row r="159" ht="38" customHeight="1">
      <x:c r="A159" s="861" t="n">
        <x:v>46318</x:v>
      </x:c>
      <x:c r="B159" s="861" t="str">
        <x:v>WBS-5.2</x:v>
      </x:c>
      <x:c r="C159" s="861" t="str">
        <x:v>WBS</x:v>
      </x:c>
      <x:c r="D159" s="861" t="str">
        <x:v>김태윤</x:v>
      </x:c>
      <x:c r="E159" s="861" t="str">
        <x:v>WBS-1.7</x:v>
      </x:c>
      <x:c r="F159" s="863"/>
      <x:c r="G159" s="863"/>
      <x:c r="H159" s="863"/>
      <x:c r="I159" s="861" t="str">
        <x:v>S12·S13</x:v>
      </x:c>
    </x:row>
    <x:row r="160" ht="38" customHeight="1">
      <x:c r="A160" s="862" t="n">
        <x:v>46318</x:v>
      </x:c>
      <x:c r="B160" s="862" t="str">
        <x:v>WBS-5.3</x:v>
      </x:c>
      <x:c r="C160" s="862" t="str">
        <x:v>프로젝트 기획서</x:v>
      </x:c>
      <x:c r="D160" s="862" t="str">
        <x:v>김태윤</x:v>
      </x:c>
      <x:c r="E160" s="862" t="str">
        <x:v>WBS-1.7</x:v>
      </x:c>
      <x:c r="F160" s="862"/>
      <x:c r="G160" s="862"/>
      <x:c r="H160" s="862"/>
      <x:c r="I160" s="862" t="str">
        <x:v>S12·S13</x:v>
      </x:c>
    </x:row>
    <x:row r="161" ht="38" customHeight="1">
      <x:c r="A161" s="862" t="n">
        <x:v>46318</x:v>
      </x:c>
      <x:c r="B161" s="862" t="str">
        <x:v>WBS-5.4</x:v>
      </x:c>
      <x:c r="C161" s="862" t="str">
        <x:v>수집 데이터 보고서</x:v>
      </x:c>
      <x:c r="D161" s="862" t="str">
        <x:v>김동섭</x:v>
      </x:c>
      <x:c r="E161" s="862" t="str">
        <x:v>WBS-1.6</x:v>
      </x:c>
      <x:c r="F161" s="862"/>
      <x:c r="G161" s="862"/>
      <x:c r="H161" s="862"/>
      <x:c r="I161" s="862" t="str">
        <x:v>S12·S13</x:v>
      </x:c>
    </x:row>
    <x:row r="162" ht="38" customHeight="1">
      <x:c r="A162" s="862" t="n">
        <x:v>46325</x:v>
      </x:c>
      <x:c r="B162" s="862" t="str">
        <x:v>WBS-5.5</x:v>
      </x:c>
      <x:c r="C162" s="862" t="str">
        <x:v>AI 시스템 아키텍처(멀티 에이전트)</x:v>
      </x:c>
      <x:c r="D162" s="862" t="str">
        <x:v>최성욱</x:v>
      </x:c>
      <x:c r="E162" s="862" t="str">
        <x:v>WBS-2.2, WBS-2.3, WBS-2.7</x:v>
      </x:c>
      <x:c r="F162" s="862"/>
      <x:c r="G162" s="862"/>
      <x:c r="H162" s="862"/>
      <x:c r="I162" s="862" t="str">
        <x:v>S12·S13</x:v>
      </x:c>
    </x:row>
    <x:row r="163" ht="38" customHeight="1">
      <x:c r="A163" s="862" t="n">
        <x:v>46325</x:v>
      </x:c>
      <x:c r="B163" s="862" t="str">
        <x:v>WBS-5.6</x:v>
      </x:c>
      <x:c r="C163" s="862" t="str">
        <x:v>화면설계서</x:v>
      </x:c>
      <x:c r="D163" s="862" t="str">
        <x:v>황수빈</x:v>
      </x:c>
      <x:c r="E163" s="862" t="str">
        <x:v>WBS-2.1, WBS-2.2</x:v>
      </x:c>
      <x:c r="F163" s="862"/>
      <x:c r="G163" s="862"/>
      <x:c r="H163" s="862"/>
      <x:c r="I163" s="862" t="str">
        <x:v>S12·S13</x:v>
      </x:c>
    </x:row>
    <x:row r="164" ht="38" customHeight="1">
      <x:c r="A164" s="862" t="n">
        <x:v>46325</x:v>
      </x:c>
      <x:c r="B164" s="862" t="str">
        <x:v>WBS-5.7</x:v>
      </x:c>
      <x:c r="C164" s="862" t="str">
        <x:v>시스템 구성도</x:v>
      </x:c>
      <x:c r="D164" s="862" t="str">
        <x:v>김동섭</x:v>
      </x:c>
      <x:c r="E164" s="862" t="str">
        <x:v>WBS-2.7</x:v>
      </x:c>
      <x:c r="F164" s="862"/>
      <x:c r="G164" s="862"/>
      <x:c r="H164" s="862"/>
      <x:c r="I164" s="862" t="str">
        <x:v>S12·S13</x:v>
      </x:c>
    </x:row>
    <x:row r="165" ht="38" customHeight="1">
      <x:c r="A165" s="862" t="n">
        <x:v>46332</x:v>
      </x:c>
      <x:c r="B165" s="862" t="str">
        <x:v>WBS-5.8</x:v>
      </x:c>
      <x:c r="C165" s="862" t="str">
        <x:v>데이터베이스/저장소 설계 문서</x:v>
      </x:c>
      <x:c r="D165" s="862" t="str">
        <x:v>최인영</x:v>
      </x:c>
      <x:c r="E165" s="862" t="str">
        <x:v>WBS-3.34</x:v>
      </x:c>
      <x:c r="F165" s="862"/>
      <x:c r="G165" s="862"/>
      <x:c r="H165" s="862"/>
      <x:c r="I165" s="862" t="str">
        <x:v>S12·S13</x:v>
      </x:c>
    </x:row>
    <x:row r="166" ht="38" customHeight="1">
      <x:c r="A166" s="862" t="n">
        <x:v>46332</x:v>
      </x:c>
      <x:c r="B166" s="862" t="str">
        <x:v>WBS-5.9</x:v>
      </x:c>
      <x:c r="C166" s="862" t="str">
        <x:v>데이터 전처리 결과서</x:v>
      </x:c>
      <x:c r="D166" s="862" t="str">
        <x:v>김재현</x:v>
      </x:c>
      <x:c r="E166" s="862" t="str">
        <x:v>WBS-3.33</x:v>
      </x:c>
      <x:c r="F166" s="862"/>
      <x:c r="G166" s="862"/>
      <x:c r="H166" s="862"/>
      <x:c r="I166" s="862" t="str">
        <x:v>S12·S13</x:v>
      </x:c>
    </x:row>
    <x:row r="167" ht="38" customHeight="1">
      <x:c r="A167" s="862" t="n">
        <x:v>46332</x:v>
      </x:c>
      <x:c r="B167" s="862" t="str">
        <x:v>WBS-5.10</x:v>
      </x:c>
      <x:c r="C167" s="862" t="str">
        <x:v>중간 발표 PT 자료</x:v>
      </x:c>
      <x:c r="D167" s="862" t="str">
        <x:v>김태윤</x:v>
      </x:c>
      <x:c r="E167" s="862" t="str">
        <x:v>WBS-2.1, WBS-2.2, WBS-2.3, WBS-2.4</x:v>
      </x:c>
      <x:c r="F167" s="862"/>
      <x:c r="G167" s="862"/>
      <x:c r="H167" s="862"/>
      <x:c r="I167" s="862" t="str">
        <x:v>S12·S13</x:v>
      </x:c>
    </x:row>
    <x:row r="168" ht="38" customHeight="1">
      <x:c r="A168" s="863" t="n">
        <x:v>46339</x:v>
      </x:c>
      <x:c r="B168" s="863" t="str">
        <x:v>WBS-5.11</x:v>
      </x:c>
      <x:c r="C168" s="863" t="str">
        <x:v>머신러닝/딥러닝 학습결과서</x:v>
      </x:c>
      <x:c r="D168" s="863" t="str">
        <x:v>김재현</x:v>
      </x:c>
      <x:c r="E168" s="863" t="str">
        <x:v>WBS-3.27</x:v>
      </x:c>
      <x:c r="F168" s="863"/>
      <x:c r="G168" s="863"/>
      <x:c r="H168" s="863"/>
      <x:c r="I168" s="863" t="str">
        <x:v>S12·S13</x:v>
      </x:c>
    </x:row>
    <x:row r="169" ht="38" customHeight="1">
      <x:c r="A169" s="862" t="n">
        <x:v>46339</x:v>
      </x:c>
      <x:c r="B169" s="863" t="str">
        <x:v>WBS-5.12</x:v>
      </x:c>
      <x:c r="C169" s="863" t="str">
        <x:v>학습한 ML/DL 모델</x:v>
      </x:c>
      <x:c r="D169" s="863" t="str">
        <x:v>김재현</x:v>
      </x:c>
      <x:c r="E169" s="863" t="str">
        <x:v>WBS-3.27</x:v>
      </x:c>
      <x:c r="F169" s="863"/>
      <x:c r="G169" s="863"/>
      <x:c r="H169" s="863"/>
      <x:c r="I169" s="863" t="str">
        <x:v>S12·S13</x:v>
      </x:c>
    </x:row>
    <x:row r="170" ht="38" customHeight="1">
      <x:c r="A170" s="861" t="n">
        <x:v>46339</x:v>
      </x:c>
      <x:c r="B170" s="861" t="str">
        <x:v>WBS-5.13</x:v>
      </x:c>
      <x:c r="C170" s="861" t="str">
        <x:v>벡터DB/GraphDB 구축 결과서</x:v>
      </x:c>
      <x:c r="D170" s="861" t="str">
        <x:v>최성욱</x:v>
      </x:c>
      <x:c r="E170" s="863" t="str">
        <x:v>WBS-3.35</x:v>
      </x:c>
      <x:c r="F170" s="863"/>
      <x:c r="G170" s="863"/>
      <x:c r="H170" s="863"/>
      <x:c r="I170" s="863" t="str">
        <x:v>S12·S13</x:v>
      </x:c>
    </x:row>
    <x:row r="171" ht="38" customHeight="1">
      <x:c r="A171" s="862" t="n">
        <x:v>46346</x:v>
      </x:c>
      <x:c r="B171" s="862" t="str">
        <x:v>WBS-5.14</x:v>
      </x:c>
      <x:c r="C171" s="862" t="str">
        <x:v>LLM 활용 소프트웨어</x:v>
      </x:c>
      <x:c r="D171" s="862" t="str">
        <x:v>최성욱</x:v>
      </x:c>
      <x:c r="E171" s="862" t="str">
        <x:v>WBS-3.11, WBS-3.16, WBS-3.17, WBS-3.30</x:v>
      </x:c>
      <x:c r="F171" s="862"/>
      <x:c r="G171" s="862"/>
      <x:c r="H171" s="862"/>
      <x:c r="I171" s="862" t="str">
        <x:v>S12·S13</x:v>
      </x:c>
    </x:row>
    <x:row r="172" ht="38" customHeight="1">
      <x:c r="A172" s="862"/>
      <x:c r="B172" s="862" t="str">
        <x:v>WBS-5.15</x:v>
      </x:c>
      <x:c r="C172" s="862" t="str">
        <x:v>[확장·미착수] 자체 sLLM 산출물 제출</x:v>
      </x:c>
      <x:c r="D172" s="862" t="str">
        <x:v>김재현</x:v>
      </x:c>
      <x:c r="E172" s="862" t="str">
        <x:v>범위 재승인 후 착수</x:v>
      </x:c>
      <x:c r="F172" s="862"/>
      <x:c r="G172" s="862"/>
      <x:c r="H172" s="862"/>
      <x:c r="I172" s="862" t="str">
        <x:v>S12·S13</x:v>
      </x:c>
    </x:row>
    <x:row r="173" ht="38" customHeight="1">
      <x:c r="A173" s="862" t="n">
        <x:v>46353</x:v>
      </x:c>
      <x:c r="B173" s="862" t="str">
        <x:v>WBS-5.16</x:v>
      </x:c>
      <x:c r="C173" s="862" t="str">
        <x:v>멀티 에이전트 테스트 계획 및 결과 보고서</x:v>
      </x:c>
      <x:c r="D173" s="862" t="str">
        <x:v>최성욱</x:v>
      </x:c>
      <x:c r="E173" s="862" t="str">
        <x:v>WBS-4.11</x:v>
      </x:c>
      <x:c r="F173" s="862"/>
      <x:c r="G173" s="862"/>
      <x:c r="H173" s="862"/>
      <x:c r="I173" s="862" t="str">
        <x:v>S12·S13</x:v>
      </x:c>
    </x:row>
    <x:row r="174" ht="38" customHeight="1">
      <x:c r="A174" s="862" t="n">
        <x:v>46360</x:v>
      </x:c>
      <x:c r="B174" s="862" t="str">
        <x:v>WBS-5.17</x:v>
      </x:c>
      <x:c r="C174" s="862" t="str">
        <x:v>서비스 테스트 계획 및 결과 보고서</x:v>
      </x:c>
      <x:c r="D174" s="862" t="str">
        <x:v>김태윤</x:v>
      </x:c>
      <x:c r="E174" s="862" t="str">
        <x:v>WBS-4.6</x:v>
      </x:c>
      <x:c r="F174" s="862"/>
      <x:c r="G174" s="862"/>
      <x:c r="H174" s="862"/>
      <x:c r="I174" s="862" t="str">
        <x:v>S12·S13</x:v>
      </x:c>
    </x:row>
    <x:row r="175" ht="38" customHeight="1">
      <x:c r="A175" s="862" t="n">
        <x:v>46364</x:v>
      </x:c>
      <x:c r="B175" s="862" t="str">
        <x:v>WBS-5.18</x:v>
      </x:c>
      <x:c r="C175" s="862" t="str">
        <x:v>개발된 LLM 연동 웹 애플리케이션</x:v>
      </x:c>
      <x:c r="D175" s="862" t="str">
        <x:v>최인영</x:v>
      </x:c>
      <x:c r="E175" s="862" t="str">
        <x:v>WBS-4.9</x:v>
      </x:c>
      <x:c r="F175" s="862"/>
      <x:c r="G175" s="862"/>
      <x:c r="H175" s="862"/>
      <x:c r="I175" s="862" t="str">
        <x:v>S12·S13</x:v>
      </x:c>
    </x:row>
    <x:row r="176" ht="38" customHeight="1">
      <x:c r="A176" s="862" t="n">
        <x:v>46364</x:v>
      </x:c>
      <x:c r="B176" s="862" t="str">
        <x:v>WBS-5.19</x:v>
      </x:c>
      <x:c r="C176" s="862" t="str">
        <x:v>최종 발표 PT 자료</x:v>
      </x:c>
      <x:c r="D176" s="862" t="str">
        <x:v>김태윤</x:v>
      </x:c>
      <x:c r="E176" s="862" t="str">
        <x:v>WBS-3.36, WBS-4.6</x:v>
      </x:c>
      <x:c r="F176" s="862"/>
      <x:c r="G176" s="862"/>
      <x:c r="H176" s="862"/>
      <x:c r="I176" s="862" t="str">
        <x:v>S12·S13</x:v>
      </x:c>
    </x:row>
    <x:row r="177" ht="38" customHeight="1">
      <x:c r="A177" s="862" t="n">
        <x:v>46364</x:v>
      </x:c>
      <x:c r="B177" s="862" t="str">
        <x:v>WBS-5.20</x:v>
      </x:c>
      <x:c r="C177" s="862" t="str">
        <x:v>프로젝트 개발 소스코드</x:v>
      </x:c>
      <x:c r="D177" s="862" t="str">
        <x:v>최인영</x:v>
      </x:c>
      <x:c r="E177" s="862" t="str">
        <x:v>WBS-4.9</x:v>
      </x:c>
      <x:c r="F177" s="862"/>
      <x:c r="G177" s="862"/>
      <x:c r="H177" s="862"/>
      <x:c r="I177" s="862" t="str">
        <x:v>S12·S13</x:v>
      </x:c>
    </x:row>
    <x:row r="178" ht="38" customHeight="1">
      <x:c r="A178" s="862" t="n">
        <x:v>46364</x:v>
      </x:c>
      <x:c r="B178" s="862" t="str">
        <x:v>WBS-5.21</x:v>
      </x:c>
      <x:c r="C178" s="862" t="str">
        <x:v>시연영상</x:v>
      </x:c>
      <x:c r="D178" s="862" t="str">
        <x:v>김태윤</x:v>
      </x:c>
      <x:c r="E178" s="862" t="str">
        <x:v>WBS-3.36, WBS-4.9</x:v>
      </x:c>
      <x:c r="F178" s="862"/>
      <x:c r="G178" s="862"/>
      <x:c r="H178" s="862"/>
      <x:c r="I178" s="862" t="str">
        <x:v>S12·S13</x:v>
      </x:c>
    </x:row>
    <x:row r="179" ht="12" customHeight="1">
      <x:c r="A179" s="862"/>
      <x:c r="B179" s="862"/>
      <x:c r="C179" s="862"/>
      <x:c r="D179" s="862"/>
      <x:c r="E179" s="862"/>
      <x:c r="F179" s="862"/>
      <x:c r="G179" s="862"/>
      <x:c r="H179" s="862"/>
      <x:c r="I179" s="862"/>
    </x:row>
    <x:row r="180" ht="28" customHeight="1">
      <x:c r="A180" s="911" t="str">
        <x:v>일정·요구사항 검토 필요 항목</x:v>
      </x:c>
      <x:c r="B180" s="911"/>
      <x:c r="C180" s="911"/>
      <x:c r="D180" s="911"/>
      <x:c r="E180" s="911"/>
      <x:c r="F180" s="911"/>
      <x:c r="G180" s="911"/>
      <x:c r="H180" s="911"/>
      <x:c r="I180" s="911"/>
    </x:row>
    <x:row r="181" ht="28" customHeight="1">
      <x:c r="A181" s="919" t="str">
        <x:v>구분</x:v>
      </x:c>
      <x:c r="B181" s="919" t="str">
        <x:v>연결 작업</x:v>
      </x:c>
      <x:c r="C181" s="919" t="str">
        <x:v>쟁점</x:v>
      </x:c>
      <x:c r="D181" s="919" t="str">
        <x:v>상태</x:v>
      </x:c>
      <x:c r="E181" s="919" t="str">
        <x:v>처리 기준</x:v>
      </x:c>
      <x:c r="F181" s="919"/>
      <x:c r="G181" s="919"/>
      <x:c r="H181" s="919"/>
      <x:c r="I181" s="919" t="str">
        <x:v>출처</x:v>
      </x:c>
    </x:row>
    <x:row r="182" ht="70" customHeight="1">
      <x:c r="A182" s="862" t="str">
        <x:v>R01</x:v>
      </x:c>
      <x:c r="B182" s="862" t="str">
        <x:v>WBS-1.9·1.12</x:v>
      </x:c>
      <x:c r="C182" s="862" t="str">
        <x:v>데모·확장 범위</x:v>
      </x:c>
      <x:c r="D182" s="862" t="str">
        <x:v>범위 반영</x:v>
      </x:c>
      <x:c r="E182" s="862" t="str">
        <x:v>35미션·기록/추천/성장/저녁질문·평가4종 채택. 결제·STT·sLLM·64미션 확장은 데모 이후.</x:v>
      </x:c>
      <x:c r="F182" s="862"/>
      <x:c r="G182" s="862"/>
      <x:c r="H182" s="862"/>
      <x:c r="I182" s="862" t="str">
        <x:v>S14~S16</x:v>
      </x:c>
    </x:row>
    <x:row r="183" ht="70" customHeight="1">
      <x:c r="A183" s="862" t="str">
        <x:v>R02</x:v>
      </x:c>
      <x:c r="B183" s="862" t="str">
        <x:v>WBS-1.10·3.28·5.15</x:v>
      </x:c>
      <x:c r="C183" s="862" t="str">
        <x:v>sLLM 선택</x:v>
      </x:c>
      <x:c r="D183" s="862" t="str">
        <x:v>데모 제외</x:v>
      </x:c>
      <x:c r="E183" s="862" t="str">
        <x:v>10/25 사용자 승인·최신PDF 기준으로 필수 제출 문구를 대체. 과거 공식 안내 이력은 S13 보존.</x:v>
      </x:c>
      <x:c r="F183" s="862"/>
      <x:c r="G183" s="862"/>
      <x:c r="H183" s="862"/>
      <x:c r="I183" s="862" t="str">
        <x:v>S14~S16</x:v>
      </x:c>
    </x:row>
    <x:row r="184" ht="70" customHeight="1">
      <x:c r="A184" s="862" t="str">
        <x:v>R03</x:v>
      </x:c>
      <x:c r="B184" s="862" t="str">
        <x:v>WBS-2.13·3.35·5.13</x:v>
      </x:c>
      <x:c r="C184" s="862" t="str">
        <x:v>검색 저장소 적합성</x:v>
      </x:c>
      <x:c r="D184" s="862" t="str">
        <x:v>확인 필요</x:v>
      </x:c>
      <x:c r="E184" s="862" t="str">
        <x:v>11/11 구축·11/13 제출은 유지. 사용조건 불명확·미션 생성 자동검사·학년 길이/재생성 상한은 김동섭이10/30까지 조정.</x:v>
      </x:c>
      <x:c r="F184" s="862"/>
      <x:c r="G184" s="862"/>
      <x:c r="H184" s="862"/>
      <x:c r="I184" s="862" t="str">
        <x:v>S14~S16</x:v>
      </x:c>
    </x:row>
    <x:row r="185" ht="70" customHeight="1">
      <x:c r="A185" s="862" t="str">
        <x:v>R04</x:v>
      </x:c>
      <x:c r="B185" s="862" t="str">
        <x:v>WBS-2.4·3.5·3.46</x:v>
      </x:c>
      <x:c r="C185" s="862" t="str">
        <x:v>35미션·판정 범위</x:v>
      </x:c>
      <x:c r="D185" s="862" t="str">
        <x:v>범위 반영</x:v>
      </x:c>
      <x:c r="E185" s="862" t="str">
        <x:v>문서상 성취기준790개 수집 완료, 기존10미션 코드 공란.3.47에서 정리/재태깅,35개 제작과 시범3~5답/대표5개 독립평가를 구분.</x:v>
      </x:c>
      <x:c r="F185" s="862"/>
      <x:c r="G185" s="862"/>
      <x:c r="H185" s="862"/>
      <x:c r="I185" s="862" t="str">
        <x:v>S14~S16</x:v>
      </x:c>
    </x:row>
    <x:row r="186" ht="70" customHeight="1">
      <x:c r="A186" s="862" t="str">
        <x:v>R05</x:v>
      </x:c>
      <x:c r="B186" s="862" t="str">
        <x:v>WBS-2.9·4.2·4.7</x:v>
      </x:c>
      <x:c r="C186" s="862" t="str">
        <x:v>11/22 활성화 충돌</x:v>
      </x:c>
      <x:c r="D186" s="862" t="str">
        <x:v>일정 조정</x:v>
      </x:c>
      <x:c r="E186" s="862" t="str">
        <x:v>10/30평가기준,11/18구현마감,11/19부터일괄검증.11/22는준비검토,12/4최종승인.</x:v>
      </x:c>
      <x:c r="F186" s="862"/>
      <x:c r="G186" s="862"/>
      <x:c r="H186" s="862"/>
      <x:c r="I186" s="862" t="str">
        <x:v>S14~S16</x:v>
      </x:c>
    </x:row>
    <x:row r="187" ht="70" customHeight="1">
      <x:c r="A187" s="862" t="str">
        <x:v>R06</x:v>
      </x:c>
      <x:c r="B187" s="862" t="str">
        <x:v>WBS-4.8·4.9·5.21</x:v>
      </x:c>
      <x:c r="C187" s="862" t="str">
        <x:v>12/7 완성본</x:v>
      </x:c>
      <x:c r="D187" s="862" t="str">
        <x:v>일정 조정</x:v>
      </x:c>
      <x:c r="E187" s="862" t="str">
        <x:v>12/5배포·12/6경로검증·12/7리허설/촬영·12/8발표/제출.</x:v>
      </x:c>
      <x:c r="F187" s="862"/>
      <x:c r="G187" s="862"/>
      <x:c r="H187" s="862"/>
      <x:c r="I187" s="862" t="str">
        <x:v>S14~S16</x:v>
      </x:c>
    </x:row>
    <x:row r="188" ht="70" customHeight="1">
      <x:c r="A188" s="863" t="str">
        <x:v>R07</x:v>
      </x:c>
      <x:c r="B188" s="863" t="str">
        <x:v>전 작업</x:v>
      </x:c>
      <x:c r="C188" s="863" t="str">
        <x:v>실제 가용시간·공수</x:v>
      </x:c>
      <x:c r="D188" s="863" t="str">
        <x:v>확인 필요</x:v>
      </x:c>
      <x:c r="E188" s="863" t="str">
        <x:v>주말 포함 일정일이며 인일 추정 아님. 프론트와PM의 독립 판정은11/18구현마감후 분리. 역할 충돌은 김동섭 조정.</x:v>
      </x:c>
      <x:c r="F188" s="863"/>
      <x:c r="G188" s="863"/>
      <x:c r="H188" s="863"/>
      <x:c r="I188" s="863" t="str">
        <x:v>S14~S16</x:v>
      </x:c>
    </x:row>
    <x:row r="189" ht="70" customHeight="1">
      <x:c r="A189" s="863" t="str">
        <x:v>R08</x:v>
      </x:c>
      <x:c r="B189" s="863" t="str">
        <x:v>시트1 H열</x:v>
      </x:c>
      <x:c r="C189" s="863" t="str">
        <x:v>날짜 기준 작업 상태</x:v>
      </x:c>
      <x:c r="D189" s="863" t="str">
        <x:v>자동 계산</x:v>
      </x:c>
      <x:c r="E189" s="863" t="str">
        <x:v>TODAY()와 시작/마감일로 상태를 자동 계산한다. 마감일 당일은 진행 중이고 다음 날부터 일정상 완료다. 보류는 유지하며 날짜 오류는 확인 대상으로 전파한다. 실제 완료는 산출물/검증/제출 증거로 별도 확인한다.</x:v>
      </x:c>
      <x:c r="F189" s="863"/>
      <x:c r="G189" s="863"/>
      <x:c r="H189" s="863"/>
      <x:c r="I189" s="863" t="str">
        <x:v>2026-10-26 사용자 날짜 자동 상태 요청</x:v>
      </x:c>
    </x:row>
    <x:row r="190" ht="12" customHeight="1">
      <x:c r="A190" s="861"/>
      <x:c r="B190" s="861"/>
      <x:c r="C190" s="861"/>
      <x:c r="D190" s="861"/>
      <x:c r="E190" s="861"/>
      <x:c r="F190" s="861"/>
      <x:c r="G190" s="861"/>
      <x:c r="H190" s="861"/>
      <x:c r="I190" s="861"/>
    </x:row>
    <x:row r="191" ht="28" customHeight="1">
      <x:c r="A191" s="916" t="str">
        <x:v>근거 목록</x:v>
      </x:c>
      <x:c r="B191" s="917"/>
      <x:c r="C191" s="911"/>
      <x:c r="D191" s="911"/>
      <x:c r="E191" s="911"/>
      <x:c r="F191" s="911"/>
      <x:c r="G191" s="911"/>
      <x:c r="H191" s="911"/>
      <x:c r="I191" s="911"/>
    </x:row>
    <x:row r="192" ht="28" customHeight="1">
      <x:c r="A192" s="926" t="str">
        <x:v>출처</x:v>
      </x:c>
      <x:c r="B192" s="927" t="str">
        <x:v>기준·기록일</x:v>
      </x:c>
      <x:c r="C192" s="919" t="str">
        <x:v>문서 제목</x:v>
      </x:c>
      <x:c r="D192" s="919" t="str">
        <x:v>원문 URL</x:v>
      </x:c>
      <x:c r="E192" s="919"/>
      <x:c r="F192" s="919"/>
      <x:c r="G192" s="919"/>
      <x:c r="H192" s="919"/>
      <x:c r="I192" s="919"/>
    </x:row>
    <x:row r="193" ht="42" customHeight="1">
      <x:c r="A193" s="860" t="str">
        <x:v>S01</x:v>
      </x:c>
      <x:c r="B193" s="861" t="str">
        <x:v>10/16</x:v>
      </x:c>
      <x:c r="C193" s="862" t="str">
        <x:v>🔎 최초 기획</x:v>
      </x:c>
      <x:c r="D193" s="862" t="str">
        <x:v>https://app.notion.com/p/3fe80f0d4a6f8181ad1cddb8f352dd76?pvs=204</x:v>
      </x:c>
      <x:c r="E193" s="862"/>
      <x:c r="F193" s="862"/>
      <x:c r="G193" s="862"/>
      <x:c r="H193" s="862"/>
      <x:c r="I193" s="862"/>
    </x:row>
    <x:row r="194" ht="42" customHeight="1">
      <x:c r="A194" s="860" t="str">
        <x:v>S02</x:v>
      </x:c>
      <x:c r="B194" s="861" t="str">
        <x:v>10/17~18</x:v>
      </x:c>
      <x:c r="C194" s="862" t="str">
        <x:v>🌤️ 준비주 주말 (10/17~10/18)</x:v>
      </x:c>
      <x:c r="D194" s="862" t="str">
        <x:v>https://app.notion.com/p/3fe80f0d4a6f81ae8cdafa14daaddc0c?pvs=204</x:v>
      </x:c>
      <x:c r="E194" s="862"/>
      <x:c r="F194" s="862"/>
      <x:c r="G194" s="862"/>
      <x:c r="H194" s="862"/>
      <x:c r="I194" s="862"/>
    </x:row>
    <x:row r="195" ht="42" customHeight="1">
      <x:c r="A195" s="860" t="str">
        <x:v>S03</x:v>
      </x:c>
      <x:c r="B195" s="861" t="str">
        <x:v>10/19</x:v>
      </x:c>
      <x:c r="C195" s="862" t="str">
        <x:v>☀️ 1주차 월요일 (10/19)</x:v>
      </x:c>
      <x:c r="D195" s="862" t="str">
        <x:v>https://app.notion.com/p/3fe80f0d4a6f8116bd44d5ebaf58e918?pvs=204</x:v>
      </x:c>
      <x:c r="E195" s="862"/>
      <x:c r="F195" s="862"/>
      <x:c r="G195" s="862"/>
      <x:c r="H195" s="862"/>
      <x:c r="I195" s="862"/>
    </x:row>
    <x:row r="196" ht="42" customHeight="1">
      <x:c r="A196" s="860" t="str">
        <x:v>S04</x:v>
      </x:c>
      <x:c r="B196" s="861" t="str">
        <x:v>10/20</x:v>
      </x:c>
      <x:c r="C196" s="862" t="str">
        <x:v>📝 1주차 화요일 (10/20)</x:v>
      </x:c>
      <x:c r="D196" s="862" t="str">
        <x:v>https://app.notion.com/p/3fe80f0d4a6f8199a076e694a83e7dfe?pvs=204</x:v>
      </x:c>
      <x:c r="E196" s="862"/>
      <x:c r="F196" s="862"/>
      <x:c r="G196" s="862"/>
      <x:c r="H196" s="862"/>
      <x:c r="I196" s="862"/>
    </x:row>
    <x:row r="197" ht="42" customHeight="1">
      <x:c r="A197" s="860" t="str">
        <x:v>S05</x:v>
      </x:c>
      <x:c r="B197" s="861" t="str">
        <x:v>10/21</x:v>
      </x:c>
      <x:c r="C197" s="862" t="str">
        <x:v>📝 1주차 수요일 (10/21)</x:v>
      </x:c>
      <x:c r="D197" s="862" t="str">
        <x:v>https://app.notion.com/p/3fe80f0d4a6f8160b3dfdd66abf5fcbe?pvs=204</x:v>
      </x:c>
      <x:c r="E197" s="862"/>
      <x:c r="F197" s="862"/>
      <x:c r="G197" s="862"/>
      <x:c r="H197" s="862"/>
      <x:c r="I197" s="862"/>
    </x:row>
    <x:row r="198" ht="42" customHeight="1">
      <x:c r="A198" s="860" t="str">
        <x:v>S06</x:v>
      </x:c>
      <x:c r="B198" s="861" t="str">
        <x:v>10/21</x:v>
      </x:c>
      <x:c r="C198" s="862" t="str">
        <x:v>10/21 오프라인 멘토링</x:v>
      </x:c>
      <x:c r="D198" s="862" t="str">
        <x:v>https://app.notion.com/p/40080f0d4a6f8025b01cd31bbbb3d7e7?pvs=204</x:v>
      </x:c>
      <x:c r="E198" s="862"/>
      <x:c r="F198" s="862"/>
      <x:c r="G198" s="862"/>
      <x:c r="H198" s="862"/>
      <x:c r="I198" s="862"/>
    </x:row>
    <x:row r="199" ht="42" customHeight="1">
      <x:c r="A199" s="860" t="str">
        <x:v>S07</x:v>
      </x:c>
      <x:c r="B199" s="861" t="str">
        <x:v>10/21</x:v>
      </x:c>
      <x:c r="C199" s="862" t="str">
        <x:v>📚 사고력·추론 중심 서술형 학습 — 사유</x:v>
      </x:c>
      <x:c r="D199" s="862" t="str">
        <x:v>https://app.notion.com/p/40080f0d4a6f81ac918ff3166453d8c7?pvs=204</x:v>
      </x:c>
      <x:c r="E199" s="862"/>
      <x:c r="F199" s="862"/>
      <x:c r="G199" s="862"/>
      <x:c r="H199" s="862"/>
      <x:c r="I199" s="862"/>
    </x:row>
    <x:row r="200" ht="42" customHeight="1">
      <x:c r="A200" s="860" t="str">
        <x:v>S08</x:v>
      </x:c>
      <x:c r="B200" s="861" t="str">
        <x:v>10/22</x:v>
      </x:c>
      <x:c r="C200" s="862" t="str">
        <x:v>📝 1주차 목요일 (10/22)</x:v>
      </x:c>
      <x:c r="D200" s="862" t="str">
        <x:v>https://app.notion.com/p/3fe80f0d4a6f819b95f4c1021391d043?pvs=204</x:v>
      </x:c>
      <x:c r="E200" s="862"/>
      <x:c r="F200" s="862"/>
      <x:c r="G200" s="862"/>
      <x:c r="H200" s="862"/>
      <x:c r="I200" s="862"/>
    </x:row>
    <x:row r="201" ht="42" customHeight="1">
      <x:c r="A201" s="860" t="str">
        <x:v>S09</x:v>
      </x:c>
      <x:c r="B201" s="861" t="str">
        <x:v>10/21(문서)</x:v>
      </x:c>
      <x:c r="C201" s="862" t="str">
        <x:v>기획안_v2</x:v>
      </x:c>
      <x:c r="D201" s="862" t="str">
        <x:v>https://app.notion.com/p/47f80f0d4a6f8381bb8481c35c5d8f2e?pvs=204</x:v>
      </x:c>
      <x:c r="E201" s="862"/>
      <x:c r="F201" s="862"/>
      <x:c r="G201" s="862"/>
      <x:c r="H201" s="862"/>
      <x:c r="I201" s="862"/>
    </x:row>
    <x:row r="202" ht="42" customHeight="1">
      <x:c r="A202" s="860" t="str">
        <x:v>S10</x:v>
      </x:c>
      <x:c r="B202" s="861" t="str">
        <x:v>10/21 이후</x:v>
      </x:c>
      <x:c r="C202" s="862" t="str">
        <x:v>사유의 설명 정확도·루브릭·유사 서비스 검증</x:v>
      </x:c>
      <x:c r="D202" s="862" t="str">
        <x:v>https://app.notion.com/p/40180f0d4a6f81b78a09d6bd76406b7c?pvs=204</x:v>
      </x:c>
      <x:c r="E202" s="862"/>
      <x:c r="F202" s="862"/>
      <x:c r="G202" s="862"/>
      <x:c r="H202" s="862"/>
      <x:c r="I202" s="862"/>
    </x:row>
    <x:row r="203" ht="42" customHeight="1">
      <x:c r="A203" s="860" t="str">
        <x:v>S11</x:v>
      </x:c>
      <x:c r="B203" s="861" t="str">
        <x:v>10/23(기한)</x:v>
      </x:c>
      <x:c r="C203" s="862" t="str">
        <x:v>기획서·WBS 초안 제출 준비</x:v>
      </x:c>
      <x:c r="D203" s="862" t="str">
        <x:v>https://app.notion.com/p/40180f0d4a6f81d89012e3a6cdae820e?pvs=204</x:v>
      </x:c>
      <x:c r="E203" s="862"/>
      <x:c r="F203" s="862"/>
      <x:c r="G203" s="862"/>
      <x:c r="H203" s="862"/>
      <x:c r="I203" s="862"/>
    </x:row>
    <x:row r="204" ht="42" customHeight="1">
      <x:c r="A204" s="860" t="str">
        <x:v>S12</x:v>
      </x:c>
      <x:c r="B204" s="861" t="str">
        <x:v>2026-10-23 확인</x:v>
      </x:c>
      <x:c r="C204" s="862" t="str">
        <x:v>공식 전체 일정 대시보드</x:v>
      </x:c>
      <x:c r="D204" s="862" t="str">
        <x:v>https://docs.google.com/spreadsheets/d/1j6USD3-YJh1jjzNqFyqqzrwN3-V5ElYRuUjmb07YJr4/edit?gid=347453426#gid=347453426</x:v>
      </x:c>
      <x:c r="E204" s="862"/>
      <x:c r="F204" s="862"/>
      <x:c r="G204" s="862"/>
      <x:c r="H204" s="862"/>
      <x:c r="I204" s="862"/>
    </x:row>
    <x:row r="205" ht="42" customHeight="1">
      <x:c r="A205" s="863" t="str">
        <x:v>S13</x:v>
      </x:c>
      <x:c r="B205" s="863" t="str">
        <x:v>2026-10-23 확인</x:v>
      </x:c>
      <x:c r="C205" s="863" t="str">
        <x:v>공식 산출물 안내★·3팀 제출 목록</x:v>
      </x:c>
      <x:c r="D205" s="863" t="str">
        <x:v>https://docs.google.com/spreadsheets/d/1j6USD3-YJh1jjzNqFyqqzrwN3-V5ElYRuUjmb07YJr4/edit#gid=1957301521</x:v>
      </x:c>
      <x:c r="E205" s="863"/>
      <x:c r="F205" s="863"/>
      <x:c r="G205" s="863"/>
      <x:c r="H205" s="863"/>
      <x:c r="I205" s="863"/>
    </x:row>
    <x:row r="206" ht="42" customHeight="1">
      <x:c r="A206" s="863" t="str">
        <x:v>S14</x:v>
      </x:c>
      <x:c r="B206" s="863" t="str">
        <x:v>2026-10-25</x:v>
      </x:c>
      <x:c r="C206" s="863" t="str">
        <x:v>기획서10/25 v3</x:v>
      </x:c>
      <x:c r="D206" s="863" t="str">
        <x:v>프로젝트_기획서_사고뭉치_최종_1025_v3.pdf · 2.6/3.10/4/5/7</x:v>
      </x:c>
      <x:c r="E206" s="863"/>
      <x:c r="F206" s="863"/>
      <x:c r="G206" s="863"/>
      <x:c r="H206" s="863"/>
      <x:c r="I206" s="863"/>
    </x:row>
    <x:row r="207" ht="42" customHeight="1">
      <x:c r="A207" s="863" t="str">
        <x:v>S15</x:v>
      </x:c>
      <x:c r="B207" s="863" t="str">
        <x:v>2026-10-25</x:v>
      </x:c>
      <x:c r="C207" s="863" t="str">
        <x:v>수집 데이터 보고서10/25 v2</x:v>
      </x:c>
      <x:c r="D207" s="863" t="str">
        <x:v>수집데이터_보고서_사고뭉치_최종_1025_v2.pdf · 1/3.1/3.5/4/5</x:v>
      </x:c>
      <x:c r="E207" s="863"/>
      <x:c r="F207" s="863"/>
      <x:c r="G207" s="863"/>
      <x:c r="H207" s="863"/>
      <x:c r="I207" s="863"/>
    </x:row>
    <x:row r="208" ht="42" customHeight="1">
      <x:c r="A208" s="863" t="str">
        <x:v>S16</x:v>
      </x:c>
      <x:c r="B208" s="863" t="str">
        <x:v>2026-10-25</x:v>
      </x:c>
      <x:c r="C208" s="863" t="str">
        <x:v>사용자 수정 승인</x:v>
      </x:c>
      <x:c r="D208" s="863" t="str">
        <x:v>주말 작업 허용·역할별 주담당·모호한 항목 김동섭·완료율 추가 검토·일정 앞당김</x:v>
      </x:c>
      <x:c r="E208" s="863"/>
      <x:c r="F208" s="863"/>
      <x:c r="G208" s="863"/>
      <x:c r="H208" s="863"/>
      <x:c r="I208" s="863"/>
    </x:row>
    <x:row r="209" ht="42" customHeight="1">
      <x:c r="A209" s="863" t="str">
        <x:v>S17</x:v>
      </x:c>
      <x:c r="B209" s="863" t="str">
        <x:v>2026-10-23</x:v>
      </x:c>
      <x:c r="C209" s="863" t="str">
        <x:v>온라인 멘토링</x:v>
      </x:c>
      <x:c r="D209" s="863" t="str">
        <x:v>https://app.notion.com/p/40280f0d4a6f81e98049e84618356aae</x:v>
      </x:c>
      <x:c r="E209" s="863"/>
      <x:c r="F209" s="863"/>
      <x:c r="G209" s="863"/>
      <x:c r="H209" s="863"/>
      <x:c r="I209" s="863"/>
    </x:row>
    <x:row r="210" ht="42" customHeight="1">
      <x:c r="A210" s="863" t="str">
        <x:v>S18</x:v>
      </x:c>
      <x:c r="B210" s="863" t="str">
        <x:v>2026-10-26</x:v>
      </x:c>
      <x:c r="C210" s="863" t="str">
        <x:v>기획서 최종 v4</x:v>
      </x:c>
      <x:c r="D210" s="863" t="str">
        <x:v>프로젝트_기획서_사고뭉치_1025_최종_v4.pdf · 4.2/5/6.2/7</x:v>
      </x:c>
      <x:c r="E210" s="863"/>
      <x:c r="F210" s="863"/>
      <x:c r="G210" s="863"/>
      <x:c r="H210" s="863"/>
      <x:c r="I210" s="863"/>
    </x:row>
    <x:row r="211" ht="42" customHeight="1">
      <x:c r="A211" s="863" t="str">
        <x:v>S19</x:v>
      </x:c>
      <x:c r="B211" s="863" t="str">
        <x:v>2026-10-26</x:v>
      </x:c>
      <x:c r="C211" s="863" t="str">
        <x:v>수집 데이터 최종 v4</x:v>
      </x:c>
      <x:c r="D211" s="863" t="str">
        <x:v>수집데이터_보고서_사고뭉치_1025_최종_v4.pdf · 1/3.1/3.5/4/5</x:v>
      </x:c>
      <x:c r="E211" s="863"/>
      <x:c r="F211" s="863"/>
      <x:c r="G211" s="863"/>
      <x:c r="H211" s="863"/>
      <x:c r="I211" s="863"/>
    </x:row>
    <x:row r="212" ht="42" customHeight="1">
      <x:c r="A212" s="863" t="str">
        <x:v>S20</x:v>
      </x:c>
      <x:c r="B212" s="863" t="str">
        <x:v>2026-10-26</x:v>
      </x:c>
      <x:c r="C212" s="863" t="str">
        <x:v>사용자 v4 반영 요청</x:v>
      </x:c>
      <x:c r="D212" s="863" t="str">
        <x:v>v4 기준 요구사항·WBS 개정. 과거 이력·확정 마감·역할·완료율 산식·이전 승인 내부 일정은 보존.</x:v>
      </x:c>
      <x:c r="E212" s="863"/>
      <x:c r="F212" s="863"/>
      <x:c r="G212" s="863"/>
      <x:c r="H212" s="863"/>
      <x:c r="I212" s="863"/>
    </x:row>
    <x:row r="213" ht="48" customHeight="1">
      <x:c r="A213" s="938" t="str">
        <x:v>S21</x:v>
      </x:c>
      <x:c r="B213" s="938" t="str">
        <x:v>2026-10-26</x:v>
      </x:c>
      <x:c r="C213" s="938" t="str">
        <x:v>작업 상태 양식 변경</x:v>
      </x:c>
      <x:c r="D213" s="938" t="str">
        <x:v>사용자 요청: 완료율을 시작 전·진행 중·완료·보류 상태로 변경. 수동 입력과 단계 자동 집계. 실제 실적 확인 전 기본값은 시작 전.</x:v>
      </x:c>
      <x:c r="E213" s="938"/>
      <x:c r="F213" s="938"/>
      <x:c r="G213" s="938"/>
      <x:c r="H213" s="938"/>
      <x:c r="I213" s="938"/>
    </x:row>
    <x:row r="214" ht="48" customHeight="1">
      <x:c r="A214" s="938" t="str">
        <x:v>S22</x:v>
      </x:c>
      <x:c r="B214" s="938" t="str">
        <x:v>2026-10-26</x:v>
      </x:c>
      <x:c r="C214" s="938" t="str">
        <x:v>날짜 자동 상태로 변경</x:v>
      </x:c>
      <x:c r="D214" s="938" t="str">
        <x:v>사용자 정정: 작업 상태는 시작/마감일과 오늘 날짜로 자동 표시. 시작 전·진행 중·일정상 완료·보류로 구분하며 실제 완료 여부는 별도 확인.</x:v>
      </x:c>
      <x:c r="E214" s="938"/>
      <x:c r="F214" s="938"/>
      <x:c r="G214" s="938"/>
      <x:c r="H214" s="938"/>
      <x:c r="I214" s="938"/>
    </x:row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09:I109"/>
    <x:mergeCell ref="C123:I123"/>
    <x:mergeCell ref="E183:H183"/>
    <x:mergeCell ref="E163:H163"/>
    <x:mergeCell ref="E149:H149"/>
    <x:mergeCell ref="D205:I205"/>
    <x:mergeCell ref="D192:I192"/>
    <x:mergeCell ref="E185:H185"/>
    <x:mergeCell ref="E175:H175"/>
    <x:mergeCell ref="E157:H157"/>
    <x:mergeCell ref="E184:H184"/>
    <x:mergeCell ref="E159:H159"/>
    <x:mergeCell ref="C141:I141"/>
    <x:mergeCell ref="E177:H177"/>
    <x:mergeCell ref="A146:I146"/>
    <x:mergeCell ref="E186:H186"/>
    <x:mergeCell ref="E161:H161"/>
    <x:mergeCell ref="E170:H170"/>
    <x:mergeCell ref="C143:I143"/>
    <x:mergeCell ref="C127:I127"/>
    <x:mergeCell ref="E167:H167"/>
    <x:mergeCell ref="E172:H172"/>
    <x:mergeCell ref="E187:H187"/>
    <x:mergeCell ref="D204:I204"/>
    <x:mergeCell ref="D197:I197"/>
    <x:mergeCell ref="A120:I120"/>
    <x:mergeCell ref="D206:I206"/>
    <x:mergeCell ref="D196:I196"/>
    <x:mergeCell ref="E189:H189"/>
    <x:mergeCell ref="C132:I132"/>
    <x:mergeCell ref="E151:H151"/>
    <x:mergeCell ref="E160:H160"/>
    <x:mergeCell ref="E174:H174"/>
    <x:mergeCell ref="D207:I207"/>
    <x:mergeCell ref="C137:I137"/>
    <x:mergeCell ref="C133:I133"/>
    <x:mergeCell ref="E152:H152"/>
    <x:mergeCell ref="D199:I199"/>
    <x:mergeCell ref="D193:I193"/>
    <x:mergeCell ref="D208:I208"/>
    <x:mergeCell ref="E158:H158"/>
    <x:mergeCell ref="D202:I202"/>
    <x:mergeCell ref="D201:I201"/>
    <x:mergeCell ref="E178:H178"/>
    <x:mergeCell ref="C135:I135"/>
    <x:mergeCell ref="E150:H150"/>
    <x:mergeCell ref="C144:I144"/>
    <x:mergeCell ref="D209:I209"/>
    <x:mergeCell ref="E164:H164"/>
    <x:mergeCell ref="E154:H154"/>
    <x:mergeCell ref="E147:H147"/>
    <x:mergeCell ref="E165:H165"/>
    <x:mergeCell ref="C121:I121"/>
    <x:mergeCell ref="E153:H153"/>
    <x:mergeCell ref="C122:I122"/>
    <x:mergeCell ref="E162:H162"/>
    <x:mergeCell ref="C134:I134"/>
    <x:mergeCell ref="E182:H182"/>
    <x:mergeCell ref="A191:I191"/>
    <x:mergeCell ref="D198:I198"/>
    <x:mergeCell ref="C139:I139"/>
    <x:mergeCell ref="E166:H166"/>
    <x:mergeCell ref="E148:H148"/>
    <x:mergeCell ref="C126:I126"/>
    <x:mergeCell ref="E176:H176"/>
    <x:mergeCell ref="E168:H168"/>
    <x:mergeCell ref="E188:H188"/>
    <x:mergeCell ref="C140:I140"/>
    <x:mergeCell ref="D200:I200"/>
    <x:mergeCell ref="A129:I129"/>
    <x:mergeCell ref="E169:H169"/>
    <x:mergeCell ref="A156:I156"/>
    <x:mergeCell ref="A131:I131"/>
    <x:mergeCell ref="A180:I180"/>
    <x:mergeCell ref="D195:I195"/>
    <x:mergeCell ref="C125:I125"/>
    <x:mergeCell ref="C138:I138"/>
    <x:mergeCell ref="E181:H181"/>
    <x:mergeCell ref="D194:I194"/>
    <x:mergeCell ref="E171:H171"/>
    <x:mergeCell ref="D203:I203"/>
    <x:mergeCell ref="C142:I142"/>
    <x:mergeCell ref="C124:I124"/>
    <x:mergeCell ref="C136:I136"/>
    <x:mergeCell ref="E173:H173"/>
    <x:mergeCell ref="D210:I210"/>
    <x:mergeCell ref="D211:I211"/>
    <x:mergeCell ref="D212:I212"/>
    <x:mergeCell ref="D213:I213"/>
    <x:mergeCell ref="D214:I214"/>
  </x:mergeCells>
  <x:pageMargins left="0.7" right="0.7" top="0.75" bottom="0.75" header="0.3" footer="0.3"/>
</x:worksheet>
</file>